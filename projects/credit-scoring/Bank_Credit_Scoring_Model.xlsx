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Scorecard" sheetId="3" state="visible" r:id="rId5"/>
    <sheet name="Peer Ranking" sheetId="4" state="visible" r:id="rId6"/>
    <sheet name="Assumptions" sheetId="5" state="visible" r:id="rId7"/>
    <sheet name="Peer Data"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12 for full-year (Q4) figures; 3, 6 or 9 for interim quarters. Used to annualise profitability ratios.</t>
        </r>
      </text>
    </comment>
    <comment ref="C8" authorId="0">
      <text>
        <r>
          <rPr>
            <sz val="10"/>
            <rFont val="Arial"/>
            <family val="2"/>
          </rPr>
          <t xml:space="preserve">Optional: the final rating cannot be better than the sovereign ceiling. Syria has no public sovereign rating, so the default is None.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9" authorId="0">
      <text>
        <r>
          <rPr>
            <sz val="10"/>
            <rFont val="Arial"/>
            <family val="2"/>
          </rPr>
          <t xml:space="preserve">Illustrative PD calibration by the author. It is monotonic and broadly consistent in ordering with published long-run agency default studies, but it is not an official statistic.</t>
        </r>
      </text>
    </comment>
  </commentList>
</comments>
</file>

<file path=xl/sharedStrings.xml><?xml version="1.0" encoding="utf-8"?>
<sst xmlns="http://schemas.openxmlformats.org/spreadsheetml/2006/main" count="243" uniqueCount="162">
  <si>
    <t xml:space="preserve">Bank Counterparty Credit Scoring Model</t>
  </si>
  <si>
    <t xml:space="preserve">Author: Jamal Kanbarieh  ·  Built for portfolio demonstration using public disclosures</t>
  </si>
  <si>
    <t xml:space="preserve">Purpose</t>
  </si>
  <si>
    <t xml:space="preserve">Assigns an internal credit grade and an indicative probability of default (PD) to a bank counterparty, as used by a financial-institutions desk to set interbank and trade-finance limits.</t>
  </si>
  <si>
    <t xml:space="preserve">Approach</t>
  </si>
  <si>
    <t xml:space="preserve">CAMELS-style scorecard: 9 ratios across Capital, Asset quality, Profitability, Liquidity and Efficiency. Each ratio is graded A (1 point, strongest) to E (5 points) against thresholds; category weights give a score from 1 to 5, which maps to a rating scale and PD. An optional sovereign ceiling caps the final rating.</t>
  </si>
  <si>
    <t xml:space="preserve">How to use</t>
  </si>
  <si>
    <t xml:space="preserve">1) On "Inputs", choose a bank in the yellow cell C4 (data is pulled from "Peer Data"). 2) Optionally type over any figure in the yellow override column. 3) Read the result on "Scorecard". 4) "Peer Ranking" scores every bank at once. 5) Thresholds, weights and the rating scale are editable on "Assumptions".</t>
  </si>
  <si>
    <t xml:space="preserve">Colour legend</t>
  </si>
  <si>
    <t xml:space="preserve">Blue text = hard-coded input · Black = formula · Green = link to another sheet · Yellow fill = cell for you to choose/override.</t>
  </si>
  <si>
    <t xml:space="preserve">Data source</t>
  </si>
  <si>
    <t xml:space="preserve">Public quarterly financial statements of Syrian private banks (Q4 2024), published by the Syrian Commission on Financial Markets and Securities (scfms.sy/en/declaration). Figures in SYP millions. Net income and operating income exclude unrealised structural FX revaluation.</t>
  </si>
  <si>
    <t xml:space="preserve">Calibration</t>
  </si>
  <si>
    <t xml:space="preserve">Thresholds, weights and the score-to-rating-to-PD mapping are the author's own illustrative calibration. They are not an official methodology of any bank or rating agency, and the PDs are not historical default statistics.</t>
  </si>
  <si>
    <t xml:space="preserve">Disclaimer</t>
  </si>
  <si>
    <t xml:space="preserve">Demonstration model only. Not a credit opinion or investment advice.</t>
  </si>
  <si>
    <t xml:space="preserve">Example input format</t>
  </si>
  <si>
    <t xml:space="preserve">Inputs!C4 = "QNBS" (bank code from the list) · Inputs!C7 = 12 (months covered by the income statement) · overrides in SYP millions, e.g. 3,517,320</t>
  </si>
  <si>
    <t xml:space="preserve">Inputs</t>
  </si>
  <si>
    <t xml:space="preserve">Choose a bank in C4. Figures are pulled from "Peer Data"; type a value in the yellow Override column to replace any of them. SYP millions.</t>
  </si>
  <si>
    <t xml:space="preserve">Bank code</t>
  </si>
  <si>
    <t xml:space="preserve">QNBS</t>
  </si>
  <si>
    <t xml:space="preserve">Bank name</t>
  </si>
  <si>
    <t xml:space="preserve">Period</t>
  </si>
  <si>
    <t xml:space="preserve">Months in income period</t>
  </si>
  <si>
    <t xml:space="preserve">Sovereign ceiling</t>
  </si>
  <si>
    <t xml:space="preserve">None</t>
  </si>
  <si>
    <t xml:space="preserve">Item</t>
  </si>
  <si>
    <t xml:space="preserve">From Peer Data</t>
  </si>
  <si>
    <t xml:space="preserve">Override</t>
  </si>
  <si>
    <t xml:space="preserve">Value used</t>
  </si>
  <si>
    <t xml:space="preserve">Unit</t>
  </si>
  <si>
    <t xml:space="preserve">Total assets</t>
  </si>
  <si>
    <t xml:space="preserve">SYP mn</t>
  </si>
  <si>
    <t xml:space="preserve">Liquid assets</t>
  </si>
  <si>
    <t xml:space="preserve">Gross loans (direct facilities)</t>
  </si>
  <si>
    <t xml:space="preserve">Non-performing loans</t>
  </si>
  <si>
    <t xml:space="preserve">ECL provisions on loans</t>
  </si>
  <si>
    <t xml:space="preserve">Customer deposits</t>
  </si>
  <si>
    <t xml:space="preserve">Cash margins</t>
  </si>
  <si>
    <t xml:space="preserve">Total liabilities</t>
  </si>
  <si>
    <t xml:space="preserve">Total equity</t>
  </si>
  <si>
    <t xml:space="preserve">Regulatory capital</t>
  </si>
  <si>
    <t xml:space="preserve">Risk-weighted assets</t>
  </si>
  <si>
    <t xml:space="preserve">Operating income (adj.)</t>
  </si>
  <si>
    <t xml:space="preserve">Operating expenses (excl. ECL)</t>
  </si>
  <si>
    <t xml:space="preserve">Net income (adj.)</t>
  </si>
  <si>
    <t xml:space="preserve">Credit scorecard</t>
  </si>
  <si>
    <t xml:space="preserve">Ratio</t>
  </si>
  <si>
    <t xml:space="preserve">Category</t>
  </si>
  <si>
    <t xml:space="preserve">Value</t>
  </si>
  <si>
    <t xml:space="preserve">Points (1–5)</t>
  </si>
  <si>
    <t xml:space="preserve">Grade</t>
  </si>
  <si>
    <t xml:space="preserve">Weight</t>
  </si>
  <si>
    <t xml:space="preserve">Weighted points</t>
  </si>
  <si>
    <t xml:space="preserve">Score</t>
  </si>
  <si>
    <t xml:space="preserve">Result</t>
  </si>
  <si>
    <t xml:space="preserve">Weighted score (1 = strongest, 5 = weakest)</t>
  </si>
  <si>
    <t xml:space="preserve">Standalone rating</t>
  </si>
  <si>
    <t xml:space="preserve">Final rating</t>
  </si>
  <si>
    <t xml:space="preserve">Indicative 1-year PD</t>
  </si>
  <si>
    <t xml:space="preserve">Category view</t>
  </si>
  <si>
    <t xml:space="preserve">Average points</t>
  </si>
  <si>
    <t xml:space="preserve">Capital</t>
  </si>
  <si>
    <t xml:space="preserve">Asset quality</t>
  </si>
  <si>
    <t xml:space="preserve">Profitability</t>
  </si>
  <si>
    <t xml:space="preserve">Liquidity</t>
  </si>
  <si>
    <t xml:space="preserve">Efficiency</t>
  </si>
  <si>
    <t xml:space="preserve">Peer ranking: every bank scored with the same model (Q4 2024)</t>
  </si>
  <si>
    <t xml:space="preserve">Ratios use "Peer Data" directly (overrides on "Inputs" do not apply here). Months in period are taken from Inputs!C7.</t>
  </si>
  <si>
    <t xml:space="preserve">Code</t>
  </si>
  <si>
    <t xml:space="preserve">Bank</t>
  </si>
  <si>
    <t xml:space="preserve">CAR</t>
  </si>
  <si>
    <t xml:space="preserve">Equity/RWA</t>
  </si>
  <si>
    <t xml:space="preserve">NPL ratio</t>
  </si>
  <si>
    <t xml:space="preserve">NPL/(Eq+ECL)</t>
  </si>
  <si>
    <t xml:space="preserve">NI/RWA</t>
  </si>
  <si>
    <t xml:space="preserve">PPP/RWA</t>
  </si>
  <si>
    <t xml:space="preserve">Mkt-fund gap</t>
  </si>
  <si>
    <t xml:space="preserve">Liquid/deposits</t>
  </si>
  <si>
    <t xml:space="preserve">CIR</t>
  </si>
  <si>
    <t xml:space="preserve">Pts CAR</t>
  </si>
  <si>
    <t xml:space="preserve">Pts Equity/RWA</t>
  </si>
  <si>
    <t xml:space="preserve">Pts NPL ratio</t>
  </si>
  <si>
    <t xml:space="preserve">Pts NPL/(Eq+ECL)</t>
  </si>
  <si>
    <t xml:space="preserve">Pts NI/RWA</t>
  </si>
  <si>
    <t xml:space="preserve">Pts PPP/RWA</t>
  </si>
  <si>
    <t xml:space="preserve">Pts Mkt-fund gap</t>
  </si>
  <si>
    <t xml:space="preserve">Pts Liquid/deposits</t>
  </si>
  <si>
    <t xml:space="preserve">Pts CIR</t>
  </si>
  <si>
    <t xml:space="preserve">Rating</t>
  </si>
  <si>
    <t xml:space="preserve">Rank</t>
  </si>
  <si>
    <t xml:space="preserve">Scoring assumptions (editable)</t>
  </si>
  <si>
    <t xml:space="preserve">Author's illustrative calibration. A = 1 point (strongest) … E = 5 points. A ratio is graded A if it meets the A cut-off, B if it meets the B cut-off, and so on; otherwise E.</t>
  </si>
  <si>
    <t xml:space="preserve">Better when</t>
  </si>
  <si>
    <t xml:space="preserve">A cut-off</t>
  </si>
  <si>
    <t xml:space="preserve">B cut-off</t>
  </si>
  <si>
    <t xml:space="preserve">C cut-off</t>
  </si>
  <si>
    <t xml:space="preserve">D cut-off</t>
  </si>
  <si>
    <t xml:space="preserve">Definition</t>
  </si>
  <si>
    <t xml:space="preserve">Capital adequacy ratio (CAR)</t>
  </si>
  <si>
    <t xml:space="preserve">Higher</t>
  </si>
  <si>
    <t xml:space="preserve">Regulatory capital ÷ risk-weighted assets</t>
  </si>
  <si>
    <t xml:space="preserve">Equity / RWA</t>
  </si>
  <si>
    <t xml:space="preserve">Total equity ÷ risk-weighted assets (loss-absorption buffer)</t>
  </si>
  <si>
    <t xml:space="preserve">Lower</t>
  </si>
  <si>
    <t xml:space="preserve">Non-performing loans ÷ gross loans</t>
  </si>
  <si>
    <t xml:space="preserve">NPL / (equity + ECL)</t>
  </si>
  <si>
    <t xml:space="preserve">Unprovisioned-risk test ("Texas ratio" style); n.m. scores E</t>
  </si>
  <si>
    <t xml:space="preserve">Net income / RWA (annualised)</t>
  </si>
  <si>
    <t xml:space="preserve">Adjusted net income × 12 / months ÷ RWA</t>
  </si>
  <si>
    <t xml:space="preserve">Pre-provision profit / RWA (ann.)</t>
  </si>
  <si>
    <t xml:space="preserve">(Operating income − operating expenses) × 12 / months ÷ RWA</t>
  </si>
  <si>
    <t xml:space="preserve">Market-funding gap / assets</t>
  </si>
  <si>
    <t xml:space="preserve">(Liabilities − customer deposits − cash margins − liquid assets) ÷ total assets</t>
  </si>
  <si>
    <t xml:space="preserve">Liquid assets / customer deposits</t>
  </si>
  <si>
    <t xml:space="preserve">Liquid assets ÷ customer deposits</t>
  </si>
  <si>
    <t xml:space="preserve">Cost-to-income ratio</t>
  </si>
  <si>
    <t xml:space="preserve">Operating expenses ÷ operating income; n.m. scores E</t>
  </si>
  <si>
    <t xml:space="preserve">Total weight</t>
  </si>
  <si>
    <t xml:space="preserve">Rating scale (score → rating → indicative PD)</t>
  </si>
  <si>
    <t xml:space="preserve">Score from</t>
  </si>
  <si>
    <t xml:space="preserve">Indicative 1-yr PD</t>
  </si>
  <si>
    <t xml:space="preserve">Sovereign ceiling options</t>
  </si>
  <si>
    <t xml:space="preserve">AA</t>
  </si>
  <si>
    <t xml:space="preserve">A</t>
  </si>
  <si>
    <t xml:space="preserve">BBB+</t>
  </si>
  <si>
    <t xml:space="preserve">BBB</t>
  </si>
  <si>
    <t xml:space="preserve">BBB-</t>
  </si>
  <si>
    <t xml:space="preserve">BB+</t>
  </si>
  <si>
    <t xml:space="preserve">BB</t>
  </si>
  <si>
    <t xml:space="preserve">BB-</t>
  </si>
  <si>
    <t xml:space="preserve">B+</t>
  </si>
  <si>
    <t xml:space="preserve">B</t>
  </si>
  <si>
    <t xml:space="preserve">B-</t>
  </si>
  <si>
    <t xml:space="preserve">CCC</t>
  </si>
  <si>
    <t xml:space="preserve">Peer data: Syrian private banks, Q4 2024 (SYP millions)</t>
  </si>
  <si>
    <t xml:space="preserve">Source: SCFMS public quarterly disclosures (scfms.sy/en/declaration), compiled by the author. Year-to-date income = 12 months. Banks that had not published by the cut-off (CHB, SIIB, SGB) are excluded.</t>
  </si>
  <si>
    <t xml:space="preserve">BBSY</t>
  </si>
  <si>
    <t xml:space="preserve">Al Baraka Bank Syria</t>
  </si>
  <si>
    <t xml:space="preserve">Q4 2024</t>
  </si>
  <si>
    <t xml:space="preserve">BBSF</t>
  </si>
  <si>
    <t xml:space="preserve">Banque Bemo Saudi Fransi</t>
  </si>
  <si>
    <t xml:space="preserve">QNB Syria</t>
  </si>
  <si>
    <t xml:space="preserve">BSO</t>
  </si>
  <si>
    <t xml:space="preserve">Bank of Syria and Overseas</t>
  </si>
  <si>
    <t xml:space="preserve">IBTF</t>
  </si>
  <si>
    <t xml:space="preserve">Intl. Bank for Trade &amp; Finance</t>
  </si>
  <si>
    <t xml:space="preserve">ATB</t>
  </si>
  <si>
    <t xml:space="preserve">Al Ahli Bank</t>
  </si>
  <si>
    <t xml:space="preserve">FSBS</t>
  </si>
  <si>
    <t xml:space="preserve">Fransabank Syria</t>
  </si>
  <si>
    <t xml:space="preserve">ARBS</t>
  </si>
  <si>
    <t xml:space="preserve">Arab Bank Syria</t>
  </si>
  <si>
    <t xml:space="preserve">BBS</t>
  </si>
  <si>
    <t xml:space="preserve">Shahba Bank (ex-Byblos)</t>
  </si>
  <si>
    <t xml:space="preserve">BOJS</t>
  </si>
  <si>
    <t xml:space="preserve">Bank of Jordan Syria</t>
  </si>
  <si>
    <t xml:space="preserve">Shrq</t>
  </si>
  <si>
    <t xml:space="preserve">Bank Al Sharq</t>
  </si>
  <si>
    <t xml:space="preserve">NIB</t>
  </si>
  <si>
    <t xml:space="preserve">National Islamic Bank</t>
  </si>
</sst>
</file>

<file path=xl/styles.xml><?xml version="1.0" encoding="utf-8"?>
<styleSheet xmlns="http://schemas.openxmlformats.org/spreadsheetml/2006/main">
  <numFmts count="7">
    <numFmt numFmtId="164" formatCode="General"/>
    <numFmt numFmtId="165" formatCode="#,##0;\(#,##0\);\-"/>
    <numFmt numFmtId="166" formatCode="0.0%;\(0.0%\);\-"/>
    <numFmt numFmtId="167" formatCode="General"/>
    <numFmt numFmtId="168" formatCode="0.000"/>
    <numFmt numFmtId="169" formatCode="0.00%;\(0.00%\);\-"/>
    <numFmt numFmtId="170"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i val="true"/>
      <sz val="10"/>
      <color rgb="FF52514E"/>
      <name val="Arial"/>
      <family val="0"/>
      <charset val="1"/>
    </font>
    <font>
      <b val="true"/>
      <sz val="10"/>
      <color rgb="FF000000"/>
      <name val="Arial"/>
      <family val="0"/>
      <charset val="1"/>
    </font>
    <font>
      <sz val="10"/>
      <color rgb="FF000000"/>
      <name val="Arial"/>
      <family val="0"/>
      <charset val="1"/>
    </font>
    <font>
      <b val="true"/>
      <sz val="12"/>
      <color rgb="FF000000"/>
      <name val="Arial"/>
      <family val="0"/>
      <charset val="1"/>
    </font>
    <font>
      <b val="true"/>
      <sz val="10"/>
      <color rgb="FF0000FF"/>
      <name val="Arial"/>
      <family val="0"/>
      <charset val="1"/>
    </font>
    <font>
      <sz val="10"/>
      <color rgb="FF008000"/>
      <name val="Arial"/>
      <family val="0"/>
      <charset val="1"/>
    </font>
    <font>
      <sz val="10"/>
      <color rgb="FF0000FF"/>
      <name val="Arial"/>
      <family val="0"/>
      <charset val="1"/>
    </font>
    <font>
      <b val="true"/>
      <sz val="10"/>
      <color rgb="FFFFFFFF"/>
      <name val="Arial"/>
      <family val="0"/>
      <charset val="1"/>
    </font>
    <font>
      <sz val="10"/>
      <color rgb="FF52514E"/>
      <name val="Arial"/>
      <family val="0"/>
      <charset val="1"/>
    </font>
    <font>
      <sz val="10"/>
      <name val="Arial"/>
      <family val="2"/>
    </font>
    <font>
      <b val="true"/>
      <sz val="11"/>
      <color rgb="FF008000"/>
      <name val="Arial"/>
      <family val="0"/>
      <charset val="1"/>
    </font>
    <font>
      <b val="true"/>
      <sz val="11"/>
      <color rgb="FF000000"/>
      <name val="Arial"/>
      <family val="0"/>
      <charset val="1"/>
    </font>
    <font>
      <b val="true"/>
      <sz val="10"/>
      <color rgb="FF008000"/>
      <name val="Arial"/>
      <family val="0"/>
      <charset val="1"/>
    </font>
    <font>
      <i val="true"/>
      <sz val="10"/>
      <color rgb="FF000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F2A47"/>
        <bgColor rgb="FF003300"/>
      </patternFill>
    </fill>
    <fill>
      <patternFill patternType="solid">
        <fgColor rgb="FFEAF2FB"/>
        <bgColor rgb="FFFFFFFF"/>
      </patternFill>
    </fill>
  </fills>
  <borders count="3">
    <border diagonalUp="false" diagonalDown="false">
      <left/>
      <right/>
      <top/>
      <bottom/>
      <diagonal/>
    </border>
    <border diagonalUp="false" diagonalDown="false">
      <left style="thin">
        <color rgb="FFC3C2B7"/>
      </left>
      <right style="thin">
        <color rgb="FFC3C2B7"/>
      </right>
      <top style="thin">
        <color rgb="FFC3C2B7"/>
      </top>
      <bottom style="thin">
        <color rgb="FFC3C2B7"/>
      </bottom>
      <diagonal/>
    </border>
    <border diagonalUp="false" diagonalDown="false">
      <left/>
      <right/>
      <top style="thin">
        <color rgb="FFC3C2B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70" fontId="6" fillId="0" borderId="2"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C2B7"/>
      <rgbColor rgb="FF808080"/>
      <rgbColor rgb="FF9999FF"/>
      <rgbColor rgb="FF993366"/>
      <rgbColor rgb="FFFFFFCC"/>
      <rgbColor rgb="FFEAF2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A47"/>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19.7" hidden="false" customHeight="false" outlineLevel="0" collapsed="false">
      <c r="B2" s="1" t="s">
        <v>0</v>
      </c>
    </row>
    <row r="3" customFormat="false" ht="15" hidden="false" customHeight="false" outlineLevel="0" collapsed="false">
      <c r="B3" s="2" t="s">
        <v>1</v>
      </c>
    </row>
    <row r="5" customFormat="false" ht="45.75" hidden="false" customHeight="true" outlineLevel="0" collapsed="false">
      <c r="B5" s="3" t="s">
        <v>2</v>
      </c>
      <c r="C5" s="4" t="s">
        <v>3</v>
      </c>
    </row>
    <row r="7" customFormat="false" ht="45.75" hidden="false" customHeight="true" outlineLevel="0" collapsed="false">
      <c r="B7" s="3" t="s">
        <v>4</v>
      </c>
      <c r="C7" s="4" t="s">
        <v>5</v>
      </c>
    </row>
    <row r="9" customFormat="false" ht="45.75" hidden="false" customHeight="true" outlineLevel="0" collapsed="false">
      <c r="B9" s="3" t="s">
        <v>6</v>
      </c>
      <c r="C9" s="4" t="s">
        <v>7</v>
      </c>
    </row>
    <row r="11" customFormat="false" ht="45.75" hidden="false" customHeight="true" outlineLevel="0" collapsed="false">
      <c r="B11" s="3" t="s">
        <v>8</v>
      </c>
      <c r="C11" s="4" t="s">
        <v>9</v>
      </c>
    </row>
    <row r="13" customFormat="false" ht="45.75" hidden="false" customHeight="true" outlineLevel="0" collapsed="false">
      <c r="B13" s="3" t="s">
        <v>10</v>
      </c>
      <c r="C13" s="4" t="s">
        <v>11</v>
      </c>
    </row>
    <row r="15" customFormat="false" ht="45.75" hidden="false" customHeight="true" outlineLevel="0" collapsed="false">
      <c r="B15" s="3" t="s">
        <v>12</v>
      </c>
      <c r="C15" s="4" t="s">
        <v>13</v>
      </c>
    </row>
    <row r="17" customFormat="false" ht="45.75" hidden="false" customHeight="true" outlineLevel="0" collapsed="false">
      <c r="B17" s="3" t="s">
        <v>14</v>
      </c>
      <c r="C17" s="4" t="s">
        <v>15</v>
      </c>
    </row>
    <row r="20" customFormat="false" ht="23.85" hidden="false" customHeight="false" outlineLevel="0" collapsed="false">
      <c r="B20" s="3" t="s">
        <v>16</v>
      </c>
      <c r="C20"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5" min="5" style="0" width="9"/>
  </cols>
  <sheetData>
    <row r="1" customFormat="false" ht="15" hidden="false" customHeight="false" outlineLevel="0" collapsed="false">
      <c r="A1" s="6" t="s">
        <v>18</v>
      </c>
    </row>
    <row r="2" customFormat="false" ht="15" hidden="false" customHeight="false" outlineLevel="0" collapsed="false">
      <c r="A2" s="2" t="s">
        <v>19</v>
      </c>
    </row>
    <row r="4" customFormat="false" ht="15" hidden="false" customHeight="false" outlineLevel="0" collapsed="false">
      <c r="B4" s="3" t="s">
        <v>20</v>
      </c>
      <c r="C4" s="7" t="s">
        <v>21</v>
      </c>
    </row>
    <row r="5" customFormat="false" ht="15" hidden="false" customHeight="false" outlineLevel="0" collapsed="false">
      <c r="B5" s="8" t="s">
        <v>22</v>
      </c>
      <c r="C5" s="9" t="str">
        <f aca="false">IFERROR(INDEX('Peer Data'!$B$5:$B$16,MATCH($C$4,'Peer Data'!$A$5:$A$16,0)),"Code not found")</f>
        <v>QNB Syria</v>
      </c>
    </row>
    <row r="6" customFormat="false" ht="15" hidden="false" customHeight="false" outlineLevel="0" collapsed="false">
      <c r="B6" s="8" t="s">
        <v>23</v>
      </c>
      <c r="C6" s="9" t="str">
        <f aca="false">IFERROR(INDEX('Peer Data'!$C$5:$C$16,MATCH($C$4,'Peer Data'!$A$5:$A$16,0)),"")</f>
        <v>Q4 2024</v>
      </c>
    </row>
    <row r="7" customFormat="false" ht="15" hidden="false" customHeight="false" outlineLevel="0" collapsed="false">
      <c r="B7" s="8" t="s">
        <v>24</v>
      </c>
      <c r="C7" s="10" t="n">
        <v>12</v>
      </c>
    </row>
    <row r="8" customFormat="false" ht="15" hidden="false" customHeight="false" outlineLevel="0" collapsed="false">
      <c r="B8" s="8" t="s">
        <v>25</v>
      </c>
      <c r="C8" s="10" t="s">
        <v>26</v>
      </c>
    </row>
    <row r="10" customFormat="false" ht="15" hidden="false" customHeight="false" outlineLevel="0" collapsed="false">
      <c r="A10" s="11" t="s">
        <v>27</v>
      </c>
      <c r="B10" s="11" t="s">
        <v>28</v>
      </c>
      <c r="C10" s="11" t="s">
        <v>29</v>
      </c>
      <c r="D10" s="11" t="s">
        <v>30</v>
      </c>
      <c r="E10" s="11" t="s">
        <v>31</v>
      </c>
    </row>
    <row r="11" customFormat="false" ht="15" hidden="false" customHeight="false" outlineLevel="0" collapsed="false">
      <c r="A11" s="8" t="s">
        <v>32</v>
      </c>
      <c r="B11" s="12" t="n">
        <f aca="false">IFERROR(INDEX('Peer Data'!$D$5:$D$16,MATCH($C$4,'Peer Data'!$A$5:$A$16,0)),0)</f>
        <v>3517320.5</v>
      </c>
      <c r="C11" s="13"/>
      <c r="D11" s="14" t="n">
        <f aca="false">IF(C11="",B11,C11)</f>
        <v>3517320.5</v>
      </c>
      <c r="E11" s="15" t="s">
        <v>33</v>
      </c>
    </row>
    <row r="12" customFormat="false" ht="15" hidden="false" customHeight="false" outlineLevel="0" collapsed="false">
      <c r="A12" s="8" t="s">
        <v>34</v>
      </c>
      <c r="B12" s="12" t="n">
        <f aca="false">IFERROR(INDEX('Peer Data'!$E$5:$E$16,MATCH($C$4,'Peer Data'!$A$5:$A$16,0)),0)</f>
        <v>552230</v>
      </c>
      <c r="C12" s="13"/>
      <c r="D12" s="14" t="n">
        <f aca="false">IF(C12="",B12,C12)</f>
        <v>552230</v>
      </c>
      <c r="E12" s="15" t="s">
        <v>33</v>
      </c>
    </row>
    <row r="13" customFormat="false" ht="15" hidden="false" customHeight="false" outlineLevel="0" collapsed="false">
      <c r="A13" s="8" t="s">
        <v>35</v>
      </c>
      <c r="B13" s="12" t="n">
        <f aca="false">IFERROR(INDEX('Peer Data'!$F$5:$F$16,MATCH($C$4,'Peer Data'!$A$5:$A$16,0)),0)</f>
        <v>175731</v>
      </c>
      <c r="C13" s="13"/>
      <c r="D13" s="14" t="n">
        <f aca="false">IF(C13="",B13,C13)</f>
        <v>175731</v>
      </c>
      <c r="E13" s="15" t="s">
        <v>33</v>
      </c>
    </row>
    <row r="14" customFormat="false" ht="15" hidden="false" customHeight="false" outlineLevel="0" collapsed="false">
      <c r="A14" s="8" t="s">
        <v>36</v>
      </c>
      <c r="B14" s="12" t="n">
        <f aca="false">IFERROR(INDEX('Peer Data'!$G$5:$G$16,MATCH($C$4,'Peer Data'!$A$5:$A$16,0)),0)</f>
        <v>0</v>
      </c>
      <c r="C14" s="13"/>
      <c r="D14" s="14" t="n">
        <f aca="false">IF(C14="",B14,C14)</f>
        <v>0</v>
      </c>
      <c r="E14" s="15" t="s">
        <v>33</v>
      </c>
    </row>
    <row r="15" customFormat="false" ht="15" hidden="false" customHeight="false" outlineLevel="0" collapsed="false">
      <c r="A15" s="8" t="s">
        <v>37</v>
      </c>
      <c r="B15" s="12" t="n">
        <f aca="false">IFERROR(INDEX('Peer Data'!$H$5:$H$16,MATCH($C$4,'Peer Data'!$A$5:$A$16,0)),0)</f>
        <v>867.5</v>
      </c>
      <c r="C15" s="13"/>
      <c r="D15" s="14" t="n">
        <f aca="false">IF(C15="",B15,C15)</f>
        <v>867.5</v>
      </c>
      <c r="E15" s="15" t="s">
        <v>33</v>
      </c>
    </row>
    <row r="16" customFormat="false" ht="15" hidden="false" customHeight="false" outlineLevel="0" collapsed="false">
      <c r="A16" s="8" t="s">
        <v>38</v>
      </c>
      <c r="B16" s="12" t="n">
        <f aca="false">IFERROR(INDEX('Peer Data'!$I$5:$I$16,MATCH($C$4,'Peer Data'!$A$5:$A$16,0)),0)</f>
        <v>853242.3</v>
      </c>
      <c r="C16" s="13"/>
      <c r="D16" s="14" t="n">
        <f aca="false">IF(C16="",B16,C16)</f>
        <v>853242.3</v>
      </c>
      <c r="E16" s="15" t="s">
        <v>33</v>
      </c>
    </row>
    <row r="17" customFormat="false" ht="15" hidden="false" customHeight="false" outlineLevel="0" collapsed="false">
      <c r="A17" s="8" t="s">
        <v>39</v>
      </c>
      <c r="B17" s="12" t="n">
        <f aca="false">IFERROR(INDEX('Peer Data'!$J$5:$J$16,MATCH($C$4,'Peer Data'!$A$5:$A$16,0)),0)</f>
        <v>19594.8</v>
      </c>
      <c r="C17" s="13"/>
      <c r="D17" s="14" t="n">
        <f aca="false">IF(C17="",B17,C17)</f>
        <v>19594.8</v>
      </c>
      <c r="E17" s="15" t="s">
        <v>33</v>
      </c>
    </row>
    <row r="18" customFormat="false" ht="15" hidden="false" customHeight="false" outlineLevel="0" collapsed="false">
      <c r="A18" s="8" t="s">
        <v>40</v>
      </c>
      <c r="B18" s="12" t="n">
        <f aca="false">IFERROR(INDEX('Peer Data'!$K$5:$K$16,MATCH($C$4,'Peer Data'!$A$5:$A$16,0)),0)</f>
        <v>1142094.5</v>
      </c>
      <c r="C18" s="13"/>
      <c r="D18" s="14" t="n">
        <f aca="false">IF(C18="",B18,C18)</f>
        <v>1142094.5</v>
      </c>
      <c r="E18" s="15" t="s">
        <v>33</v>
      </c>
    </row>
    <row r="19" customFormat="false" ht="15" hidden="false" customHeight="false" outlineLevel="0" collapsed="false">
      <c r="A19" s="8" t="s">
        <v>41</v>
      </c>
      <c r="B19" s="12" t="n">
        <f aca="false">IFERROR(INDEX('Peer Data'!$L$5:$L$16,MATCH($C$4,'Peer Data'!$A$5:$A$16,0)),0)</f>
        <v>2375225.9</v>
      </c>
      <c r="C19" s="13"/>
      <c r="D19" s="14" t="n">
        <f aca="false">IF(C19="",B19,C19)</f>
        <v>2375225.9</v>
      </c>
      <c r="E19" s="15" t="s">
        <v>33</v>
      </c>
    </row>
    <row r="20" customFormat="false" ht="15" hidden="false" customHeight="false" outlineLevel="0" collapsed="false">
      <c r="A20" s="8" t="s">
        <v>42</v>
      </c>
      <c r="B20" s="12" t="n">
        <f aca="false">IFERROR(INDEX('Peer Data'!$M$5:$M$16,MATCH($C$4,'Peer Data'!$A$5:$A$16,0)),0)</f>
        <v>2374047.7</v>
      </c>
      <c r="C20" s="13"/>
      <c r="D20" s="14" t="n">
        <f aca="false">IF(C20="",B20,C20)</f>
        <v>2374047.7</v>
      </c>
      <c r="E20" s="15" t="s">
        <v>33</v>
      </c>
    </row>
    <row r="21" customFormat="false" ht="15" hidden="false" customHeight="false" outlineLevel="0" collapsed="false">
      <c r="A21" s="8" t="s">
        <v>43</v>
      </c>
      <c r="B21" s="12" t="n">
        <f aca="false">IFERROR(INDEX('Peer Data'!$N$5:$N$16,MATCH($C$4,'Peer Data'!$A$5:$A$16,0)),0)</f>
        <v>1150082.8</v>
      </c>
      <c r="C21" s="13"/>
      <c r="D21" s="14" t="n">
        <f aca="false">IF(C21="",B21,C21)</f>
        <v>1150082.8</v>
      </c>
      <c r="E21" s="15" t="s">
        <v>33</v>
      </c>
    </row>
    <row r="22" customFormat="false" ht="15" hidden="false" customHeight="false" outlineLevel="0" collapsed="false">
      <c r="A22" s="8" t="s">
        <v>44</v>
      </c>
      <c r="B22" s="12" t="n">
        <f aca="false">IFERROR(INDEX('Peer Data'!$O$5:$O$16,MATCH($C$4,'Peer Data'!$A$5:$A$16,0)),0)</f>
        <v>132974.7</v>
      </c>
      <c r="C22" s="13"/>
      <c r="D22" s="14" t="n">
        <f aca="false">IF(C22="",B22,C22)</f>
        <v>132974.7</v>
      </c>
      <c r="E22" s="15" t="s">
        <v>33</v>
      </c>
    </row>
    <row r="23" customFormat="false" ht="15" hidden="false" customHeight="false" outlineLevel="0" collapsed="false">
      <c r="A23" s="8" t="s">
        <v>45</v>
      </c>
      <c r="B23" s="12" t="n">
        <f aca="false">IFERROR(INDEX('Peer Data'!$P$5:$P$16,MATCH($C$4,'Peer Data'!$A$5:$A$16,0)),0)</f>
        <v>63692</v>
      </c>
      <c r="C23" s="13"/>
      <c r="D23" s="14" t="n">
        <f aca="false">IF(C23="",B23,C23)</f>
        <v>63692</v>
      </c>
      <c r="E23" s="15" t="s">
        <v>33</v>
      </c>
    </row>
    <row r="24" customFormat="false" ht="15" hidden="false" customHeight="false" outlineLevel="0" collapsed="false">
      <c r="A24" s="8" t="s">
        <v>46</v>
      </c>
      <c r="B24" s="12" t="n">
        <f aca="false">IFERROR(INDEX('Peer Data'!$Q$5:$Q$16,MATCH($C$4,'Peer Data'!$A$5:$A$16,0)),0)</f>
        <v>64696.2</v>
      </c>
      <c r="C24" s="13"/>
      <c r="D24" s="14" t="n">
        <f aca="false">IF(C24="",B24,C24)</f>
        <v>64696.2</v>
      </c>
      <c r="E24" s="15" t="s">
        <v>33</v>
      </c>
    </row>
  </sheetData>
  <dataValidations count="2">
    <dataValidation allowBlank="false" errorStyle="stop" operator="between" showDropDown="false" showErrorMessage="false" showInputMessage="false" sqref="C4" type="list">
      <formula1>'Peer Data'!$A$5:$A$16</formula1>
      <formula2>0</formula2>
    </dataValidation>
    <dataValidation allowBlank="false" errorStyle="stop" operator="between" showDropDown="false" showErrorMessage="false" showInputMessage="false" sqref="C8" type="list">
      <formula1>Assumptions!$E$19:$E$31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2"/>
    <col collapsed="false" customWidth="true" hidden="false" outlineLevel="0" max="4" min="4" style="0" width="13"/>
    <col collapsed="false" customWidth="true" hidden="false" outlineLevel="0" max="5" min="5" style="0" width="8"/>
    <col collapsed="false" customWidth="true" hidden="false" outlineLevel="0" max="6" min="6" style="0" width="9"/>
    <col collapsed="false" customWidth="true" hidden="false" outlineLevel="0" max="7" min="7" style="0" width="15"/>
  </cols>
  <sheetData>
    <row r="1" customFormat="false" ht="15" hidden="false" customHeight="false" outlineLevel="0" collapsed="false">
      <c r="A1" s="6" t="s">
        <v>47</v>
      </c>
    </row>
    <row r="2" customFormat="false" ht="15" hidden="false" customHeight="false" outlineLevel="0" collapsed="false">
      <c r="A2" s="16" t="str">
        <f aca="false">Inputs!C5&amp;"  ("&amp;Inputs!C4&amp;")  ·  "&amp;Inputs!C6</f>
        <v>QNB Syria  (QNBS)  ·  Q4 2024</v>
      </c>
    </row>
    <row r="4" customFormat="false" ht="30" hidden="false" customHeight="true" outlineLevel="0" collapsed="false">
      <c r="A4" s="11" t="s">
        <v>48</v>
      </c>
      <c r="B4" s="11" t="s">
        <v>49</v>
      </c>
      <c r="C4" s="11" t="s">
        <v>50</v>
      </c>
      <c r="D4" s="11" t="s">
        <v>51</v>
      </c>
      <c r="E4" s="11" t="s">
        <v>52</v>
      </c>
      <c r="F4" s="11" t="s">
        <v>53</v>
      </c>
      <c r="G4" s="11" t="s">
        <v>54</v>
      </c>
    </row>
    <row r="5" customFormat="false" ht="15" hidden="false" customHeight="false" outlineLevel="0" collapsed="false">
      <c r="A5" s="9" t="str">
        <f aca="false">Assumptions!A5</f>
        <v>Capital adequacy ratio (CAR)</v>
      </c>
      <c r="B5" s="9" t="str">
        <f aca="false">Assumptions!B5</f>
        <v>Capital</v>
      </c>
      <c r="C5" s="17" t="n">
        <f aca="false">IF(Inputs!$D$21&lt;=0,"n.m.",Inputs!$D$20/Inputs!$D$21)</f>
        <v>2.06424067901894</v>
      </c>
      <c r="D5" s="18" t="n">
        <f aca="false">IF(ISNUMBER(C5),IF(Assumptions!$C$5="Higher",IF(C5&gt;=Assumptions!$D$5,1,IF(C5&gt;=Assumptions!$E$5,2,IF(C5&gt;=Assumptions!$F$5,3,IF(C5&gt;=Assumptions!$G$5,4,5)))),IF(C5&lt;=Assumptions!$D$5,1,IF(C5&lt;=Assumptions!$E$5,2,IF(C5&lt;=Assumptions!$F$5,3,IF(C5&lt;=Assumptions!$G$5,4,5))))),5)</f>
        <v>1</v>
      </c>
      <c r="E5" s="19" t="str">
        <f aca="false">CHAR(64+D5)</f>
        <v>A</v>
      </c>
      <c r="F5" s="20" t="n">
        <f aca="false">Assumptions!H5</f>
        <v>0.1</v>
      </c>
      <c r="G5" s="21" t="n">
        <f aca="false">D5*F5</f>
        <v>0.1</v>
      </c>
    </row>
    <row r="6" customFormat="false" ht="15" hidden="false" customHeight="false" outlineLevel="0" collapsed="false">
      <c r="A6" s="9" t="str">
        <f aca="false">Assumptions!A6</f>
        <v>Equity / RWA</v>
      </c>
      <c r="B6" s="9" t="str">
        <f aca="false">Assumptions!B6</f>
        <v>Capital</v>
      </c>
      <c r="C6" s="17" t="n">
        <f aca="false">IF(Inputs!$D$21&lt;=0,"n.m.",Inputs!$D$19/Inputs!$D$21)</f>
        <v>2.06526512699781</v>
      </c>
      <c r="D6" s="18" t="n">
        <f aca="false">IF(ISNUMBER(C6),IF(Assumptions!$C$6="Higher",IF(C6&gt;=Assumptions!$D$6,1,IF(C6&gt;=Assumptions!$E$6,2,IF(C6&gt;=Assumptions!$F$6,3,IF(C6&gt;=Assumptions!$G$6,4,5)))),IF(C6&lt;=Assumptions!$D$6,1,IF(C6&lt;=Assumptions!$E$6,2,IF(C6&lt;=Assumptions!$F$6,3,IF(C6&lt;=Assumptions!$G$6,4,5))))),5)</f>
        <v>1</v>
      </c>
      <c r="E6" s="19" t="str">
        <f aca="false">CHAR(64+D6)</f>
        <v>A</v>
      </c>
      <c r="F6" s="20" t="n">
        <f aca="false">Assumptions!H6</f>
        <v>0.1</v>
      </c>
      <c r="G6" s="21" t="n">
        <f aca="false">D6*F6</f>
        <v>0.1</v>
      </c>
    </row>
    <row r="7" customFormat="false" ht="15" hidden="false" customHeight="false" outlineLevel="0" collapsed="false">
      <c r="A7" s="9" t="str">
        <f aca="false">Assumptions!A7</f>
        <v>NPL ratio</v>
      </c>
      <c r="B7" s="9" t="str">
        <f aca="false">Assumptions!B7</f>
        <v>Asset quality</v>
      </c>
      <c r="C7" s="17" t="n">
        <f aca="false">IF(Inputs!$D$13&lt;=0,"n.m.",Inputs!$D$14/Inputs!$D$13)</f>
        <v>0</v>
      </c>
      <c r="D7" s="18" t="n">
        <f aca="false">IF(ISNUMBER(C7),IF(Assumptions!$C$7="Higher",IF(C7&gt;=Assumptions!$D$7,1,IF(C7&gt;=Assumptions!$E$7,2,IF(C7&gt;=Assumptions!$F$7,3,IF(C7&gt;=Assumptions!$G$7,4,5)))),IF(C7&lt;=Assumptions!$D$7,1,IF(C7&lt;=Assumptions!$E$7,2,IF(C7&lt;=Assumptions!$F$7,3,IF(C7&lt;=Assumptions!$G$7,4,5))))),5)</f>
        <v>1</v>
      </c>
      <c r="E7" s="19" t="str">
        <f aca="false">CHAR(64+D7)</f>
        <v>A</v>
      </c>
      <c r="F7" s="20" t="n">
        <f aca="false">Assumptions!H7</f>
        <v>0.15</v>
      </c>
      <c r="G7" s="21" t="n">
        <f aca="false">D7*F7</f>
        <v>0.15</v>
      </c>
    </row>
    <row r="8" customFormat="false" ht="15" hidden="false" customHeight="false" outlineLevel="0" collapsed="false">
      <c r="A8" s="9" t="str">
        <f aca="false">Assumptions!A8</f>
        <v>NPL / (equity + ECL)</v>
      </c>
      <c r="B8" s="9" t="str">
        <f aca="false">Assumptions!B8</f>
        <v>Asset quality</v>
      </c>
      <c r="C8" s="17" t="n">
        <f aca="false">IF((Inputs!$D$19+Inputs!$D$15)&lt;=0,"n.m.",Inputs!$D$14/(Inputs!$D$19+Inputs!$D$15))</f>
        <v>0</v>
      </c>
      <c r="D8" s="18" t="n">
        <f aca="false">IF(ISNUMBER(C8),IF(Assumptions!$C$8="Higher",IF(C8&gt;=Assumptions!$D$8,1,IF(C8&gt;=Assumptions!$E$8,2,IF(C8&gt;=Assumptions!$F$8,3,IF(C8&gt;=Assumptions!$G$8,4,5)))),IF(C8&lt;=Assumptions!$D$8,1,IF(C8&lt;=Assumptions!$E$8,2,IF(C8&lt;=Assumptions!$F$8,3,IF(C8&lt;=Assumptions!$G$8,4,5))))),5)</f>
        <v>1</v>
      </c>
      <c r="E8" s="19" t="str">
        <f aca="false">CHAR(64+D8)</f>
        <v>A</v>
      </c>
      <c r="F8" s="20" t="n">
        <f aca="false">Assumptions!H8</f>
        <v>0.15</v>
      </c>
      <c r="G8" s="21" t="n">
        <f aca="false">D8*F8</f>
        <v>0.15</v>
      </c>
    </row>
    <row r="9" customFormat="false" ht="15" hidden="false" customHeight="false" outlineLevel="0" collapsed="false">
      <c r="A9" s="9" t="str">
        <f aca="false">Assumptions!A9</f>
        <v>Net income / RWA (annualised)</v>
      </c>
      <c r="B9" s="9" t="str">
        <f aca="false">Assumptions!B9</f>
        <v>Profitability</v>
      </c>
      <c r="C9" s="22" t="n">
        <f aca="false">IF(Inputs!$D$21&lt;=0,"n.m.",Inputs!$D$24*12/Inputs!$C$7/Inputs!$D$21)</f>
        <v>0.0562535149643139</v>
      </c>
      <c r="D9" s="18" t="n">
        <f aca="false">IF(ISNUMBER(C9),IF(Assumptions!$C$9="Higher",IF(C9&gt;=Assumptions!$D$9,1,IF(C9&gt;=Assumptions!$E$9,2,IF(C9&gt;=Assumptions!$F$9,3,IF(C9&gt;=Assumptions!$G$9,4,5)))),IF(C9&lt;=Assumptions!$D$9,1,IF(C9&lt;=Assumptions!$E$9,2,IF(C9&lt;=Assumptions!$F$9,3,IF(C9&lt;=Assumptions!$G$9,4,5))))),5)</f>
        <v>1</v>
      </c>
      <c r="E9" s="19" t="str">
        <f aca="false">CHAR(64+D9)</f>
        <v>A</v>
      </c>
      <c r="F9" s="20" t="n">
        <f aca="false">Assumptions!H9</f>
        <v>0.1</v>
      </c>
      <c r="G9" s="21" t="n">
        <f aca="false">D9*F9</f>
        <v>0.1</v>
      </c>
    </row>
    <row r="10" customFormat="false" ht="15" hidden="false" customHeight="false" outlineLevel="0" collapsed="false">
      <c r="A10" s="9" t="str">
        <f aca="false">Assumptions!A10</f>
        <v>Pre-provision profit / RWA (ann.)</v>
      </c>
      <c r="B10" s="9" t="str">
        <f aca="false">Assumptions!B10</f>
        <v>Profitability</v>
      </c>
      <c r="C10" s="22" t="n">
        <f aca="false">IF(Inputs!$D$21&lt;=0,"n.m.",(Inputs!$D$22-Inputs!$D$23)*12/Inputs!$C$7/Inputs!$D$21)</f>
        <v>0.0602414886997702</v>
      </c>
      <c r="D10" s="18" t="n">
        <f aca="false">IF(ISNUMBER(C10),IF(Assumptions!$C$10="Higher",IF(C10&gt;=Assumptions!$D$10,1,IF(C10&gt;=Assumptions!$E$10,2,IF(C10&gt;=Assumptions!$F$10,3,IF(C10&gt;=Assumptions!$G$10,4,5)))),IF(C10&lt;=Assumptions!$D$10,1,IF(C10&lt;=Assumptions!$E$10,2,IF(C10&lt;=Assumptions!$F$10,3,IF(C10&lt;=Assumptions!$G$10,4,5))))),5)</f>
        <v>1</v>
      </c>
      <c r="E10" s="19" t="str">
        <f aca="false">CHAR(64+D10)</f>
        <v>A</v>
      </c>
      <c r="F10" s="20" t="n">
        <f aca="false">Assumptions!H10</f>
        <v>0.1</v>
      </c>
      <c r="G10" s="21" t="n">
        <f aca="false">D10*F10</f>
        <v>0.1</v>
      </c>
    </row>
    <row r="11" customFormat="false" ht="15" hidden="false" customHeight="false" outlineLevel="0" collapsed="false">
      <c r="A11" s="9" t="str">
        <f aca="false">Assumptions!A11</f>
        <v>Market-funding gap / assets</v>
      </c>
      <c r="B11" s="9" t="str">
        <f aca="false">Assumptions!B11</f>
        <v>Liquidity</v>
      </c>
      <c r="C11" s="17" t="n">
        <f aca="false">IF(Inputs!$D$11&lt;=0,"n.m.",(Inputs!$D$18-Inputs!$D$16-Inputs!$D$17-Inputs!$D$12)/Inputs!$D$11)</f>
        <v>-0.0804511843603675</v>
      </c>
      <c r="D11" s="18" t="n">
        <f aca="false">IF(ISNUMBER(C11),IF(Assumptions!$C$11="Higher",IF(C11&gt;=Assumptions!$D$11,1,IF(C11&gt;=Assumptions!$E$11,2,IF(C11&gt;=Assumptions!$F$11,3,IF(C11&gt;=Assumptions!$G$11,4,5)))),IF(C11&lt;=Assumptions!$D$11,1,IF(C11&lt;=Assumptions!$E$11,2,IF(C11&lt;=Assumptions!$F$11,3,IF(C11&lt;=Assumptions!$G$11,4,5))))),5)</f>
        <v>3</v>
      </c>
      <c r="E11" s="19" t="str">
        <f aca="false">CHAR(64+D11)</f>
        <v>C</v>
      </c>
      <c r="F11" s="20" t="n">
        <f aca="false">Assumptions!H11</f>
        <v>0.1</v>
      </c>
      <c r="G11" s="21" t="n">
        <f aca="false">D11*F11</f>
        <v>0.3</v>
      </c>
    </row>
    <row r="12" customFormat="false" ht="15" hidden="false" customHeight="false" outlineLevel="0" collapsed="false">
      <c r="A12" s="9" t="str">
        <f aca="false">Assumptions!A12</f>
        <v>Liquid assets / customer deposits</v>
      </c>
      <c r="B12" s="9" t="str">
        <f aca="false">Assumptions!B12</f>
        <v>Liquidity</v>
      </c>
      <c r="C12" s="17" t="n">
        <f aca="false">IF(Inputs!$D$16&lt;=0,"n.m.",Inputs!$D$12/Inputs!$D$16)</f>
        <v>0.647213575792011</v>
      </c>
      <c r="D12" s="18" t="n">
        <f aca="false">IF(ISNUMBER(C12),IF(Assumptions!$C$12="Higher",IF(C12&gt;=Assumptions!$D$12,1,IF(C12&gt;=Assumptions!$E$12,2,IF(C12&gt;=Assumptions!$F$12,3,IF(C12&gt;=Assumptions!$G$12,4,5)))),IF(C12&lt;=Assumptions!$D$12,1,IF(C12&lt;=Assumptions!$E$12,2,IF(C12&lt;=Assumptions!$F$12,3,IF(C12&lt;=Assumptions!$G$12,4,5))))),5)</f>
        <v>1</v>
      </c>
      <c r="E12" s="19" t="str">
        <f aca="false">CHAR(64+D12)</f>
        <v>A</v>
      </c>
      <c r="F12" s="20" t="n">
        <f aca="false">Assumptions!H12</f>
        <v>0.1</v>
      </c>
      <c r="G12" s="21" t="n">
        <f aca="false">D12*F12</f>
        <v>0.1</v>
      </c>
    </row>
    <row r="13" customFormat="false" ht="15" hidden="false" customHeight="false" outlineLevel="0" collapsed="false">
      <c r="A13" s="9" t="str">
        <f aca="false">Assumptions!A13</f>
        <v>Cost-to-income ratio</v>
      </c>
      <c r="B13" s="9" t="str">
        <f aca="false">Assumptions!B13</f>
        <v>Efficiency</v>
      </c>
      <c r="C13" s="17" t="n">
        <f aca="false">IF(Inputs!$D$22&lt;=0,"n.m.",Inputs!$D$23/Inputs!$D$22)</f>
        <v>0.478978331968412</v>
      </c>
      <c r="D13" s="18" t="n">
        <f aca="false">IF(ISNUMBER(C13),IF(Assumptions!$C$13="Higher",IF(C13&gt;=Assumptions!$D$13,1,IF(C13&gt;=Assumptions!$E$13,2,IF(C13&gt;=Assumptions!$F$13,3,IF(C13&gt;=Assumptions!$G$13,4,5)))),IF(C13&lt;=Assumptions!$D$13,1,IF(C13&lt;=Assumptions!$E$13,2,IF(C13&lt;=Assumptions!$F$13,3,IF(C13&lt;=Assumptions!$G$13,4,5))))),5)</f>
        <v>2</v>
      </c>
      <c r="E13" s="19" t="str">
        <f aca="false">CHAR(64+D13)</f>
        <v>B</v>
      </c>
      <c r="F13" s="20" t="n">
        <f aca="false">Assumptions!H13</f>
        <v>0.1</v>
      </c>
      <c r="G13" s="21" t="n">
        <f aca="false">D13*F13</f>
        <v>0.2</v>
      </c>
    </row>
    <row r="14" customFormat="false" ht="15" hidden="false" customHeight="false" outlineLevel="0" collapsed="false">
      <c r="A14" s="23"/>
      <c r="B14" s="23"/>
      <c r="C14" s="23"/>
      <c r="D14" s="23"/>
      <c r="E14" s="23"/>
      <c r="F14" s="24" t="s">
        <v>55</v>
      </c>
      <c r="G14" s="25" t="n">
        <f aca="false">SUM(G5:G13)</f>
        <v>1.3</v>
      </c>
    </row>
    <row r="16" customFormat="false" ht="15" hidden="false" customHeight="false" outlineLevel="0" collapsed="false">
      <c r="A16" s="26" t="s">
        <v>56</v>
      </c>
    </row>
    <row r="17" customFormat="false" ht="15" hidden="false" customHeight="false" outlineLevel="0" collapsed="false">
      <c r="A17" s="8" t="s">
        <v>57</v>
      </c>
      <c r="B17" s="27" t="n">
        <f aca="false">G14</f>
        <v>1.3</v>
      </c>
    </row>
    <row r="18" customFormat="false" ht="15" hidden="false" customHeight="false" outlineLevel="0" collapsed="false">
      <c r="A18" s="8" t="s">
        <v>58</v>
      </c>
      <c r="B18" s="3" t="str">
        <f aca="false">INDEX(Assumptions!$B$19:$B$30,MATCH(G14,Assumptions!$A$19:$A$30,1))</f>
        <v>AA</v>
      </c>
    </row>
    <row r="19" customFormat="false" ht="15" hidden="false" customHeight="false" outlineLevel="0" collapsed="false">
      <c r="A19" s="8" t="s">
        <v>25</v>
      </c>
      <c r="B19" s="28" t="str">
        <f aca="false">Inputs!C8</f>
        <v>None</v>
      </c>
    </row>
    <row r="20" customFormat="false" ht="15" hidden="false" customHeight="false" outlineLevel="0" collapsed="false">
      <c r="A20" s="3" t="s">
        <v>59</v>
      </c>
      <c r="B20" s="29" t="str">
        <f aca="false">IF(Inputs!C8="None",B18,INDEX(Assumptions!$B$19:$B$30,MAX(MATCH(B18,Assumptions!$B$19:$B$30,0),MATCH(Inputs!C8,Assumptions!$B$19:$B$30,0))))</f>
        <v>AA</v>
      </c>
    </row>
    <row r="21" customFormat="false" ht="15" hidden="false" customHeight="false" outlineLevel="0" collapsed="false">
      <c r="A21" s="8" t="s">
        <v>60</v>
      </c>
      <c r="B21" s="30" t="n">
        <f aca="false">INDEX(Assumptions!$C$19:$C$30,MATCH(B20,Assumptions!$B$19:$B$30,0))</f>
        <v>0.0003</v>
      </c>
    </row>
    <row r="24" customFormat="false" ht="15" hidden="false" customHeight="false" outlineLevel="0" collapsed="false">
      <c r="A24" s="26" t="s">
        <v>61</v>
      </c>
    </row>
    <row r="25" customFormat="false" ht="23.85" hidden="false" customHeight="false" outlineLevel="0" collapsed="false">
      <c r="A25" s="11" t="s">
        <v>49</v>
      </c>
      <c r="B25" s="11" t="s">
        <v>53</v>
      </c>
      <c r="C25" s="11" t="s">
        <v>62</v>
      </c>
      <c r="D25" s="11" t="s">
        <v>52</v>
      </c>
    </row>
    <row r="26" customFormat="false" ht="15" hidden="false" customHeight="false" outlineLevel="0" collapsed="false">
      <c r="A26" s="8" t="s">
        <v>63</v>
      </c>
      <c r="B26" s="31" t="n">
        <f aca="false">SUMIF($B$5:$B$13,A26,$F$5:$F$13)</f>
        <v>0.2</v>
      </c>
      <c r="C26" s="32" t="n">
        <f aca="false">IFERROR(SUMIF($B$5:$B$13,A26,$G$5:$G$13)/B26,"")</f>
        <v>1</v>
      </c>
      <c r="D26" s="19" t="str">
        <f aca="false">IFERROR(CHAR(64+ROUND(C26,0)),"")</f>
        <v>A</v>
      </c>
    </row>
    <row r="27" customFormat="false" ht="15" hidden="false" customHeight="false" outlineLevel="0" collapsed="false">
      <c r="A27" s="8" t="s">
        <v>64</v>
      </c>
      <c r="B27" s="31" t="n">
        <f aca="false">SUMIF($B$5:$B$13,A27,$F$5:$F$13)</f>
        <v>0.3</v>
      </c>
      <c r="C27" s="32" t="n">
        <f aca="false">IFERROR(SUMIF($B$5:$B$13,A27,$G$5:$G$13)/B27,"")</f>
        <v>1</v>
      </c>
      <c r="D27" s="19" t="str">
        <f aca="false">IFERROR(CHAR(64+ROUND(C27,0)),"")</f>
        <v>A</v>
      </c>
    </row>
    <row r="28" customFormat="false" ht="15" hidden="false" customHeight="false" outlineLevel="0" collapsed="false">
      <c r="A28" s="8" t="s">
        <v>65</v>
      </c>
      <c r="B28" s="31" t="n">
        <f aca="false">SUMIF($B$5:$B$13,A28,$F$5:$F$13)</f>
        <v>0.2</v>
      </c>
      <c r="C28" s="32" t="n">
        <f aca="false">IFERROR(SUMIF($B$5:$B$13,A28,$G$5:$G$13)/B28,"")</f>
        <v>1</v>
      </c>
      <c r="D28" s="19" t="str">
        <f aca="false">IFERROR(CHAR(64+ROUND(C28,0)),"")</f>
        <v>A</v>
      </c>
    </row>
    <row r="29" customFormat="false" ht="15" hidden="false" customHeight="false" outlineLevel="0" collapsed="false">
      <c r="A29" s="8" t="s">
        <v>66</v>
      </c>
      <c r="B29" s="31" t="n">
        <f aca="false">SUMIF($B$5:$B$13,A29,$F$5:$F$13)</f>
        <v>0.2</v>
      </c>
      <c r="C29" s="32" t="n">
        <f aca="false">IFERROR(SUMIF($B$5:$B$13,A29,$G$5:$G$13)/B29,"")</f>
        <v>2</v>
      </c>
      <c r="D29" s="19" t="str">
        <f aca="false">IFERROR(CHAR(64+ROUND(C29,0)),"")</f>
        <v>B</v>
      </c>
    </row>
    <row r="30" customFormat="false" ht="15" hidden="false" customHeight="false" outlineLevel="0" collapsed="false">
      <c r="A30" s="8" t="s">
        <v>67</v>
      </c>
      <c r="B30" s="31" t="n">
        <f aca="false">SUMIF($B$5:$B$13,A30,$F$5:$F$13)</f>
        <v>0.1</v>
      </c>
      <c r="C30" s="32" t="n">
        <f aca="false">IFERROR(SUMIF($B$5:$B$13,A30,$G$5:$G$13)/B30,"")</f>
        <v>2</v>
      </c>
      <c r="D30" s="19" t="str">
        <f aca="false">IFERROR(CHAR(64+ROUND(C30,0)),"")</f>
        <v>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23" min="3" style="0" width="11"/>
  </cols>
  <sheetData>
    <row r="1" customFormat="false" ht="15" hidden="false" customHeight="false" outlineLevel="0" collapsed="false">
      <c r="A1" s="6" t="s">
        <v>68</v>
      </c>
    </row>
    <row r="2" customFormat="false" ht="15" hidden="false" customHeight="false" outlineLevel="0" collapsed="false">
      <c r="A2" s="2" t="s">
        <v>69</v>
      </c>
    </row>
    <row r="4" customFormat="false" ht="42" hidden="false" customHeight="true" outlineLevel="0" collapsed="false">
      <c r="A4" s="11" t="s">
        <v>70</v>
      </c>
      <c r="B4" s="11" t="s">
        <v>71</v>
      </c>
      <c r="C4" s="11" t="s">
        <v>72</v>
      </c>
      <c r="D4" s="11" t="s">
        <v>73</v>
      </c>
      <c r="E4" s="11" t="s">
        <v>74</v>
      </c>
      <c r="F4" s="11" t="s">
        <v>75</v>
      </c>
      <c r="G4" s="11" t="s">
        <v>76</v>
      </c>
      <c r="H4" s="11" t="s">
        <v>77</v>
      </c>
      <c r="I4" s="11" t="s">
        <v>78</v>
      </c>
      <c r="J4" s="11" t="s">
        <v>79</v>
      </c>
      <c r="K4" s="11" t="s">
        <v>80</v>
      </c>
      <c r="L4" s="11" t="s">
        <v>81</v>
      </c>
      <c r="M4" s="11" t="s">
        <v>82</v>
      </c>
      <c r="N4" s="11" t="s">
        <v>83</v>
      </c>
      <c r="O4" s="11" t="s">
        <v>84</v>
      </c>
      <c r="P4" s="11" t="s">
        <v>85</v>
      </c>
      <c r="Q4" s="11" t="s">
        <v>86</v>
      </c>
      <c r="R4" s="11" t="s">
        <v>87</v>
      </c>
      <c r="S4" s="11" t="s">
        <v>88</v>
      </c>
      <c r="T4" s="11" t="s">
        <v>89</v>
      </c>
      <c r="U4" s="11" t="s">
        <v>55</v>
      </c>
      <c r="V4" s="11" t="s">
        <v>90</v>
      </c>
      <c r="W4" s="11" t="s">
        <v>91</v>
      </c>
    </row>
    <row r="5" customFormat="false" ht="15" hidden="false" customHeight="false" outlineLevel="0" collapsed="false">
      <c r="A5" s="9" t="str">
        <f aca="false">'Peer Data'!A5</f>
        <v>BBSY</v>
      </c>
      <c r="B5" s="9" t="str">
        <f aca="false">'Peer Data'!B5</f>
        <v>Al Baraka Bank Syria</v>
      </c>
      <c r="C5" s="17" t="n">
        <f aca="false">IF('Peer Data'!N5&lt;=0,"n.m.",'Peer Data'!M5/'Peer Data'!N5)</f>
        <v>0.491474695646669</v>
      </c>
      <c r="D5" s="17" t="n">
        <f aca="false">IF('Peer Data'!N5&lt;=0,"n.m.",'Peer Data'!L5/'Peer Data'!N5)</f>
        <v>0.480451975657238</v>
      </c>
      <c r="E5" s="17" t="n">
        <f aca="false">IF('Peer Data'!F5&lt;=0,"n.m.",'Peer Data'!G5/'Peer Data'!F5)</f>
        <v>0.151136838879848</v>
      </c>
      <c r="F5" s="17" t="n">
        <f aca="false">IF(('Peer Data'!L5+'Peer Data'!H5)&lt;=0,"n.m.",'Peer Data'!G5/('Peer Data'!L5+'Peer Data'!H5))</f>
        <v>0.111910324570602</v>
      </c>
      <c r="G5" s="22" t="n">
        <f aca="false">IF('Peer Data'!N5&lt;=0,"n.m.",'Peer Data'!Q5*12/Inputs!$C$7/'Peer Data'!N5)</f>
        <v>0.0510433496816386</v>
      </c>
      <c r="H5" s="22" t="n">
        <f aca="false">IF('Peer Data'!N5&lt;=0,"n.m.",('Peer Data'!O5-'Peer Data'!P5)*12/Inputs!$C$7/'Peer Data'!N5)</f>
        <v>0.0954951460357293</v>
      </c>
      <c r="I5" s="17" t="n">
        <f aca="false">IF('Peer Data'!D5&lt;=0,"n.m.",('Peer Data'!K5-'Peer Data'!I5-'Peer Data'!J5-'Peer Data'!E5)/'Peer Data'!D5)</f>
        <v>-0.497024387235198</v>
      </c>
      <c r="J5" s="17" t="n">
        <f aca="false">IF('Peer Data'!I5&lt;=0,"n.m.",'Peer Data'!E5/'Peer Data'!I5)</f>
        <v>1.8115590656964</v>
      </c>
      <c r="K5" s="17" t="n">
        <f aca="false">IF('Peer Data'!O5&lt;=0,"n.m.",'Peer Data'!P5/'Peer Data'!O5)</f>
        <v>0.436427414673964</v>
      </c>
      <c r="L5" s="18" t="n">
        <f aca="false">IF(ISNUMBER(C5),IF(Assumptions!$C$5="Higher",IF(C5&gt;=Assumptions!$D$5,1,IF(C5&gt;=Assumptions!$E$5,2,IF(C5&gt;=Assumptions!$F$5,3,IF(C5&gt;=Assumptions!$G$5,4,5)))),IF(C5&lt;=Assumptions!$D$5,1,IF(C5&lt;=Assumptions!$E$5,2,IF(C5&lt;=Assumptions!$F$5,3,IF(C5&lt;=Assumptions!$G$5,4,5))))),5)</f>
        <v>1</v>
      </c>
      <c r="M5" s="18" t="n">
        <f aca="false">IF(ISNUMBER(D5),IF(Assumptions!$C$6="Higher",IF(D5&gt;=Assumptions!$D$6,1,IF(D5&gt;=Assumptions!$E$6,2,IF(D5&gt;=Assumptions!$F$6,3,IF(D5&gt;=Assumptions!$G$6,4,5)))),IF(D5&lt;=Assumptions!$D$6,1,IF(D5&lt;=Assumptions!$E$6,2,IF(D5&lt;=Assumptions!$F$6,3,IF(D5&lt;=Assumptions!$G$6,4,5))))),5)</f>
        <v>1</v>
      </c>
      <c r="N5" s="18" t="n">
        <f aca="false">IF(ISNUMBER(E5),IF(Assumptions!$C$7="Higher",IF(E5&gt;=Assumptions!$D$7,1,IF(E5&gt;=Assumptions!$E$7,2,IF(E5&gt;=Assumptions!$F$7,3,IF(E5&gt;=Assumptions!$G$7,4,5)))),IF(E5&lt;=Assumptions!$D$7,1,IF(E5&lt;=Assumptions!$E$7,2,IF(E5&lt;=Assumptions!$F$7,3,IF(E5&lt;=Assumptions!$G$7,4,5))))),5)</f>
        <v>4</v>
      </c>
      <c r="O5" s="18" t="n">
        <f aca="false">IF(ISNUMBER(F5),IF(Assumptions!$C$8="Higher",IF(F5&gt;=Assumptions!$D$8,1,IF(F5&gt;=Assumptions!$E$8,2,IF(F5&gt;=Assumptions!$F$8,3,IF(F5&gt;=Assumptions!$G$8,4,5)))),IF(F5&lt;=Assumptions!$D$8,1,IF(F5&lt;=Assumptions!$E$8,2,IF(F5&lt;=Assumptions!$F$8,3,IF(F5&lt;=Assumptions!$G$8,4,5))))),5)</f>
        <v>2</v>
      </c>
      <c r="P5" s="18" t="n">
        <f aca="false">IF(ISNUMBER(G5),IF(Assumptions!$C$9="Higher",IF(G5&gt;=Assumptions!$D$9,1,IF(G5&gt;=Assumptions!$E$9,2,IF(G5&gt;=Assumptions!$F$9,3,IF(G5&gt;=Assumptions!$G$9,4,5)))),IF(G5&lt;=Assumptions!$D$9,1,IF(G5&lt;=Assumptions!$E$9,2,IF(G5&lt;=Assumptions!$F$9,3,IF(G5&lt;=Assumptions!$G$9,4,5))))),5)</f>
        <v>1</v>
      </c>
      <c r="Q5" s="18" t="n">
        <f aca="false">IF(ISNUMBER(H5),IF(Assumptions!$C$10="Higher",IF(H5&gt;=Assumptions!$D$10,1,IF(H5&gt;=Assumptions!$E$10,2,IF(H5&gt;=Assumptions!$F$10,3,IF(H5&gt;=Assumptions!$G$10,4,5)))),IF(H5&lt;=Assumptions!$D$10,1,IF(H5&lt;=Assumptions!$E$10,2,IF(H5&lt;=Assumptions!$F$10,3,IF(H5&lt;=Assumptions!$G$10,4,5))))),5)</f>
        <v>1</v>
      </c>
      <c r="R5" s="18" t="n">
        <f aca="false">IF(ISNUMBER(I5),IF(Assumptions!$C$11="Higher",IF(I5&gt;=Assumptions!$D$11,1,IF(I5&gt;=Assumptions!$E$11,2,IF(I5&gt;=Assumptions!$F$11,3,IF(I5&gt;=Assumptions!$G$11,4,5)))),IF(I5&lt;=Assumptions!$D$11,1,IF(I5&lt;=Assumptions!$E$11,2,IF(I5&lt;=Assumptions!$F$11,3,IF(I5&lt;=Assumptions!$G$11,4,5))))),5)</f>
        <v>1</v>
      </c>
      <c r="S5" s="18" t="n">
        <f aca="false">IF(ISNUMBER(J5),IF(Assumptions!$C$12="Higher",IF(J5&gt;=Assumptions!$D$12,1,IF(J5&gt;=Assumptions!$E$12,2,IF(J5&gt;=Assumptions!$F$12,3,IF(J5&gt;=Assumptions!$G$12,4,5)))),IF(J5&lt;=Assumptions!$D$12,1,IF(J5&lt;=Assumptions!$E$12,2,IF(J5&lt;=Assumptions!$F$12,3,IF(J5&lt;=Assumptions!$G$12,4,5))))),5)</f>
        <v>1</v>
      </c>
      <c r="T5" s="18" t="n">
        <f aca="false">IF(ISNUMBER(K5),IF(Assumptions!$C$13="Higher",IF(K5&gt;=Assumptions!$D$13,1,IF(K5&gt;=Assumptions!$E$13,2,IF(K5&gt;=Assumptions!$F$13,3,IF(K5&gt;=Assumptions!$G$13,4,5)))),IF(K5&lt;=Assumptions!$D$13,1,IF(K5&lt;=Assumptions!$E$13,2,IF(K5&lt;=Assumptions!$F$13,3,IF(K5&lt;=Assumptions!$G$13,4,5))))),5)</f>
        <v>1</v>
      </c>
      <c r="U5" s="27" t="n">
        <f aca="false">L5*Assumptions!$H$5+M5*Assumptions!$H$6+N5*Assumptions!$H$7+O5*Assumptions!$H$8+P5*Assumptions!$H$9+Q5*Assumptions!$H$10+R5*Assumptions!$H$11+S5*Assumptions!$H$12+T5*Assumptions!$H$13</f>
        <v>1.6</v>
      </c>
      <c r="V5" s="19" t="str">
        <f aca="false">INDEX(Assumptions!$B$19:$B$30,MATCH(U5,Assumptions!$A$19:$A$30,1))</f>
        <v>A</v>
      </c>
      <c r="W5" s="18" t="n">
        <f aca="false">RANK(U5,$U$5:$U$16,1)</f>
        <v>5</v>
      </c>
    </row>
    <row r="6" customFormat="false" ht="15" hidden="false" customHeight="false" outlineLevel="0" collapsed="false">
      <c r="A6" s="9" t="str">
        <f aca="false">'Peer Data'!A6</f>
        <v>BBSF</v>
      </c>
      <c r="B6" s="9" t="str">
        <f aca="false">'Peer Data'!B6</f>
        <v>Banque Bemo Saudi Fransi</v>
      </c>
      <c r="C6" s="17" t="n">
        <f aca="false">IF('Peer Data'!N6&lt;=0,"n.m.",'Peer Data'!M6/'Peer Data'!N6)</f>
        <v>0.207318405369342</v>
      </c>
      <c r="D6" s="17" t="n">
        <f aca="false">IF('Peer Data'!N6&lt;=0,"n.m.",'Peer Data'!L6/'Peer Data'!N6)</f>
        <v>0.123076543072038</v>
      </c>
      <c r="E6" s="17" t="n">
        <f aca="false">IF('Peer Data'!F6&lt;=0,"n.m.",'Peer Data'!G6/'Peer Data'!F6)</f>
        <v>0.337692217771954</v>
      </c>
      <c r="F6" s="17" t="n">
        <f aca="false">IF(('Peer Data'!L6+'Peer Data'!H6)&lt;=0,"n.m.",'Peer Data'!G6/('Peer Data'!L6+'Peer Data'!H6))</f>
        <v>0.644071838018294</v>
      </c>
      <c r="G6" s="22" t="n">
        <f aca="false">IF('Peer Data'!N6&lt;=0,"n.m.",'Peer Data'!Q6*12/Inputs!$C$7/'Peer Data'!N6)</f>
        <v>0.0061838160371742</v>
      </c>
      <c r="H6" s="22" t="n">
        <f aca="false">IF('Peer Data'!N6&lt;=0,"n.m.",('Peer Data'!O6-'Peer Data'!P6)*12/Inputs!$C$7/'Peer Data'!N6)</f>
        <v>0.0814148483212601</v>
      </c>
      <c r="I6" s="17" t="n">
        <f aca="false">IF('Peer Data'!D6&lt;=0,"n.m.",('Peer Data'!K6-'Peer Data'!I6-'Peer Data'!J6-'Peer Data'!E6)/'Peer Data'!D6)</f>
        <v>-0.716521286549475</v>
      </c>
      <c r="J6" s="17" t="n">
        <f aca="false">IF('Peer Data'!I6&lt;=0,"n.m.",'Peer Data'!E6/'Peer Data'!I6)</f>
        <v>0.797484808312221</v>
      </c>
      <c r="K6" s="17" t="n">
        <f aca="false">IF('Peer Data'!O6&lt;=0,"n.m.",'Peer Data'!P6/'Peer Data'!O6)</f>
        <v>0.374696717281422</v>
      </c>
      <c r="L6" s="18" t="n">
        <f aca="false">IF(ISNUMBER(C6),IF(Assumptions!$C$5="Higher",IF(C6&gt;=Assumptions!$D$5,1,IF(C6&gt;=Assumptions!$E$5,2,IF(C6&gt;=Assumptions!$F$5,3,IF(C6&gt;=Assumptions!$G$5,4,5)))),IF(C6&lt;=Assumptions!$D$5,1,IF(C6&lt;=Assumptions!$E$5,2,IF(C6&lt;=Assumptions!$F$5,3,IF(C6&lt;=Assumptions!$G$5,4,5))))),5)</f>
        <v>1</v>
      </c>
      <c r="M6" s="18" t="n">
        <f aca="false">IF(ISNUMBER(D6),IF(Assumptions!$C$6="Higher",IF(D6&gt;=Assumptions!$D$6,1,IF(D6&gt;=Assumptions!$E$6,2,IF(D6&gt;=Assumptions!$F$6,3,IF(D6&gt;=Assumptions!$G$6,4,5)))),IF(D6&lt;=Assumptions!$D$6,1,IF(D6&lt;=Assumptions!$E$6,2,IF(D6&lt;=Assumptions!$F$6,3,IF(D6&lt;=Assumptions!$G$6,4,5))))),5)</f>
        <v>2</v>
      </c>
      <c r="N6" s="18" t="n">
        <f aca="false">IF(ISNUMBER(E6),IF(Assumptions!$C$7="Higher",IF(E6&gt;=Assumptions!$D$7,1,IF(E6&gt;=Assumptions!$E$7,2,IF(E6&gt;=Assumptions!$F$7,3,IF(E6&gt;=Assumptions!$G$7,4,5)))),IF(E6&lt;=Assumptions!$D$7,1,IF(E6&lt;=Assumptions!$E$7,2,IF(E6&lt;=Assumptions!$F$7,3,IF(E6&lt;=Assumptions!$G$7,4,5))))),5)</f>
        <v>5</v>
      </c>
      <c r="O6" s="18" t="n">
        <f aca="false">IF(ISNUMBER(F6),IF(Assumptions!$C$8="Higher",IF(F6&gt;=Assumptions!$D$8,1,IF(F6&gt;=Assumptions!$E$8,2,IF(F6&gt;=Assumptions!$F$8,3,IF(F6&gt;=Assumptions!$G$8,4,5)))),IF(F6&lt;=Assumptions!$D$8,1,IF(F6&lt;=Assumptions!$E$8,2,IF(F6&lt;=Assumptions!$F$8,3,IF(F6&lt;=Assumptions!$G$8,4,5))))),5)</f>
        <v>4</v>
      </c>
      <c r="P6" s="18" t="n">
        <f aca="false">IF(ISNUMBER(G6),IF(Assumptions!$C$9="Higher",IF(G6&gt;=Assumptions!$D$9,1,IF(G6&gt;=Assumptions!$E$9,2,IF(G6&gt;=Assumptions!$F$9,3,IF(G6&gt;=Assumptions!$G$9,4,5)))),IF(G6&lt;=Assumptions!$D$9,1,IF(G6&lt;=Assumptions!$E$9,2,IF(G6&lt;=Assumptions!$F$9,3,IF(G6&lt;=Assumptions!$G$9,4,5))))),5)</f>
        <v>4</v>
      </c>
      <c r="Q6" s="18" t="n">
        <f aca="false">IF(ISNUMBER(H6),IF(Assumptions!$C$10="Higher",IF(H6&gt;=Assumptions!$D$10,1,IF(H6&gt;=Assumptions!$E$10,2,IF(H6&gt;=Assumptions!$F$10,3,IF(H6&gt;=Assumptions!$G$10,4,5)))),IF(H6&lt;=Assumptions!$D$10,1,IF(H6&lt;=Assumptions!$E$10,2,IF(H6&lt;=Assumptions!$F$10,3,IF(H6&lt;=Assumptions!$G$10,4,5))))),5)</f>
        <v>1</v>
      </c>
      <c r="R6" s="18" t="n">
        <f aca="false">IF(ISNUMBER(I6),IF(Assumptions!$C$11="Higher",IF(I6&gt;=Assumptions!$D$11,1,IF(I6&gt;=Assumptions!$E$11,2,IF(I6&gt;=Assumptions!$F$11,3,IF(I6&gt;=Assumptions!$G$11,4,5)))),IF(I6&lt;=Assumptions!$D$11,1,IF(I6&lt;=Assumptions!$E$11,2,IF(I6&lt;=Assumptions!$F$11,3,IF(I6&lt;=Assumptions!$G$11,4,5))))),5)</f>
        <v>1</v>
      </c>
      <c r="S6" s="18" t="n">
        <f aca="false">IF(ISNUMBER(J6),IF(Assumptions!$C$12="Higher",IF(J6&gt;=Assumptions!$D$12,1,IF(J6&gt;=Assumptions!$E$12,2,IF(J6&gt;=Assumptions!$F$12,3,IF(J6&gt;=Assumptions!$G$12,4,5)))),IF(J6&lt;=Assumptions!$D$12,1,IF(J6&lt;=Assumptions!$E$12,2,IF(J6&lt;=Assumptions!$F$12,3,IF(J6&lt;=Assumptions!$G$12,4,5))))),5)</f>
        <v>1</v>
      </c>
      <c r="T6" s="18" t="n">
        <f aca="false">IF(ISNUMBER(K6),IF(Assumptions!$C$13="Higher",IF(K6&gt;=Assumptions!$D$13,1,IF(K6&gt;=Assumptions!$E$13,2,IF(K6&gt;=Assumptions!$F$13,3,IF(K6&gt;=Assumptions!$G$13,4,5)))),IF(K6&lt;=Assumptions!$D$13,1,IF(K6&lt;=Assumptions!$E$13,2,IF(K6&lt;=Assumptions!$F$13,3,IF(K6&lt;=Assumptions!$G$13,4,5))))),5)</f>
        <v>1</v>
      </c>
      <c r="U6" s="27" t="n">
        <f aca="false">L6*Assumptions!$H$5+M6*Assumptions!$H$6+N6*Assumptions!$H$7+O6*Assumptions!$H$8+P6*Assumptions!$H$9+Q6*Assumptions!$H$10+R6*Assumptions!$H$11+S6*Assumptions!$H$12+T6*Assumptions!$H$13</f>
        <v>2.45</v>
      </c>
      <c r="V6" s="19" t="str">
        <f aca="false">INDEX(Assumptions!$B$19:$B$30,MATCH(U6,Assumptions!$A$19:$A$30,1))</f>
        <v>BBB-</v>
      </c>
      <c r="W6" s="18" t="n">
        <f aca="false">RANK(U6,$U$5:$U$16,1)</f>
        <v>8</v>
      </c>
    </row>
    <row r="7" customFormat="false" ht="15" hidden="false" customHeight="false" outlineLevel="0" collapsed="false">
      <c r="A7" s="9" t="str">
        <f aca="false">'Peer Data'!A7</f>
        <v>QNBS</v>
      </c>
      <c r="B7" s="9" t="str">
        <f aca="false">'Peer Data'!B7</f>
        <v>QNB Syria</v>
      </c>
      <c r="C7" s="17" t="n">
        <f aca="false">IF('Peer Data'!N7&lt;=0,"n.m.",'Peer Data'!M7/'Peer Data'!N7)</f>
        <v>2.06424067901894</v>
      </c>
      <c r="D7" s="17" t="n">
        <f aca="false">IF('Peer Data'!N7&lt;=0,"n.m.",'Peer Data'!L7/'Peer Data'!N7)</f>
        <v>2.06526512699781</v>
      </c>
      <c r="E7" s="17" t="n">
        <f aca="false">IF('Peer Data'!F7&lt;=0,"n.m.",'Peer Data'!G7/'Peer Data'!F7)</f>
        <v>0</v>
      </c>
      <c r="F7" s="17" t="n">
        <f aca="false">IF(('Peer Data'!L7+'Peer Data'!H7)&lt;=0,"n.m.",'Peer Data'!G7/('Peer Data'!L7+'Peer Data'!H7))</f>
        <v>0</v>
      </c>
      <c r="G7" s="22" t="n">
        <f aca="false">IF('Peer Data'!N7&lt;=0,"n.m.",'Peer Data'!Q7*12/Inputs!$C$7/'Peer Data'!N7)</f>
        <v>0.0562535149643139</v>
      </c>
      <c r="H7" s="22" t="n">
        <f aca="false">IF('Peer Data'!N7&lt;=0,"n.m.",('Peer Data'!O7-'Peer Data'!P7)*12/Inputs!$C$7/'Peer Data'!N7)</f>
        <v>0.0602414886997702</v>
      </c>
      <c r="I7" s="17" t="n">
        <f aca="false">IF('Peer Data'!D7&lt;=0,"n.m.",('Peer Data'!K7-'Peer Data'!I7-'Peer Data'!J7-'Peer Data'!E7)/'Peer Data'!D7)</f>
        <v>-0.0804511843603675</v>
      </c>
      <c r="J7" s="17" t="n">
        <f aca="false">IF('Peer Data'!I7&lt;=0,"n.m.",'Peer Data'!E7/'Peer Data'!I7)</f>
        <v>0.647213575792011</v>
      </c>
      <c r="K7" s="17" t="n">
        <f aca="false">IF('Peer Data'!O7&lt;=0,"n.m.",'Peer Data'!P7/'Peer Data'!O7)</f>
        <v>0.478978331968412</v>
      </c>
      <c r="L7" s="18" t="n">
        <f aca="false">IF(ISNUMBER(C7),IF(Assumptions!$C$5="Higher",IF(C7&gt;=Assumptions!$D$5,1,IF(C7&gt;=Assumptions!$E$5,2,IF(C7&gt;=Assumptions!$F$5,3,IF(C7&gt;=Assumptions!$G$5,4,5)))),IF(C7&lt;=Assumptions!$D$5,1,IF(C7&lt;=Assumptions!$E$5,2,IF(C7&lt;=Assumptions!$F$5,3,IF(C7&lt;=Assumptions!$G$5,4,5))))),5)</f>
        <v>1</v>
      </c>
      <c r="M7" s="18" t="n">
        <f aca="false">IF(ISNUMBER(D7),IF(Assumptions!$C$6="Higher",IF(D7&gt;=Assumptions!$D$6,1,IF(D7&gt;=Assumptions!$E$6,2,IF(D7&gt;=Assumptions!$F$6,3,IF(D7&gt;=Assumptions!$G$6,4,5)))),IF(D7&lt;=Assumptions!$D$6,1,IF(D7&lt;=Assumptions!$E$6,2,IF(D7&lt;=Assumptions!$F$6,3,IF(D7&lt;=Assumptions!$G$6,4,5))))),5)</f>
        <v>1</v>
      </c>
      <c r="N7" s="18" t="n">
        <f aca="false">IF(ISNUMBER(E7),IF(Assumptions!$C$7="Higher",IF(E7&gt;=Assumptions!$D$7,1,IF(E7&gt;=Assumptions!$E$7,2,IF(E7&gt;=Assumptions!$F$7,3,IF(E7&gt;=Assumptions!$G$7,4,5)))),IF(E7&lt;=Assumptions!$D$7,1,IF(E7&lt;=Assumptions!$E$7,2,IF(E7&lt;=Assumptions!$F$7,3,IF(E7&lt;=Assumptions!$G$7,4,5))))),5)</f>
        <v>1</v>
      </c>
      <c r="O7" s="18" t="n">
        <f aca="false">IF(ISNUMBER(F7),IF(Assumptions!$C$8="Higher",IF(F7&gt;=Assumptions!$D$8,1,IF(F7&gt;=Assumptions!$E$8,2,IF(F7&gt;=Assumptions!$F$8,3,IF(F7&gt;=Assumptions!$G$8,4,5)))),IF(F7&lt;=Assumptions!$D$8,1,IF(F7&lt;=Assumptions!$E$8,2,IF(F7&lt;=Assumptions!$F$8,3,IF(F7&lt;=Assumptions!$G$8,4,5))))),5)</f>
        <v>1</v>
      </c>
      <c r="P7" s="18" t="n">
        <f aca="false">IF(ISNUMBER(G7),IF(Assumptions!$C$9="Higher",IF(G7&gt;=Assumptions!$D$9,1,IF(G7&gt;=Assumptions!$E$9,2,IF(G7&gt;=Assumptions!$F$9,3,IF(G7&gt;=Assumptions!$G$9,4,5)))),IF(G7&lt;=Assumptions!$D$9,1,IF(G7&lt;=Assumptions!$E$9,2,IF(G7&lt;=Assumptions!$F$9,3,IF(G7&lt;=Assumptions!$G$9,4,5))))),5)</f>
        <v>1</v>
      </c>
      <c r="Q7" s="18" t="n">
        <f aca="false">IF(ISNUMBER(H7),IF(Assumptions!$C$10="Higher",IF(H7&gt;=Assumptions!$D$10,1,IF(H7&gt;=Assumptions!$E$10,2,IF(H7&gt;=Assumptions!$F$10,3,IF(H7&gt;=Assumptions!$G$10,4,5)))),IF(H7&lt;=Assumptions!$D$10,1,IF(H7&lt;=Assumptions!$E$10,2,IF(H7&lt;=Assumptions!$F$10,3,IF(H7&lt;=Assumptions!$G$10,4,5))))),5)</f>
        <v>1</v>
      </c>
      <c r="R7" s="18" t="n">
        <f aca="false">IF(ISNUMBER(I7),IF(Assumptions!$C$11="Higher",IF(I7&gt;=Assumptions!$D$11,1,IF(I7&gt;=Assumptions!$E$11,2,IF(I7&gt;=Assumptions!$F$11,3,IF(I7&gt;=Assumptions!$G$11,4,5)))),IF(I7&lt;=Assumptions!$D$11,1,IF(I7&lt;=Assumptions!$E$11,2,IF(I7&lt;=Assumptions!$F$11,3,IF(I7&lt;=Assumptions!$G$11,4,5))))),5)</f>
        <v>3</v>
      </c>
      <c r="S7" s="18" t="n">
        <f aca="false">IF(ISNUMBER(J7),IF(Assumptions!$C$12="Higher",IF(J7&gt;=Assumptions!$D$12,1,IF(J7&gt;=Assumptions!$E$12,2,IF(J7&gt;=Assumptions!$F$12,3,IF(J7&gt;=Assumptions!$G$12,4,5)))),IF(J7&lt;=Assumptions!$D$12,1,IF(J7&lt;=Assumptions!$E$12,2,IF(J7&lt;=Assumptions!$F$12,3,IF(J7&lt;=Assumptions!$G$12,4,5))))),5)</f>
        <v>1</v>
      </c>
      <c r="T7" s="18" t="n">
        <f aca="false">IF(ISNUMBER(K7),IF(Assumptions!$C$13="Higher",IF(K7&gt;=Assumptions!$D$13,1,IF(K7&gt;=Assumptions!$E$13,2,IF(K7&gt;=Assumptions!$F$13,3,IF(K7&gt;=Assumptions!$G$13,4,5)))),IF(K7&lt;=Assumptions!$D$13,1,IF(K7&lt;=Assumptions!$E$13,2,IF(K7&lt;=Assumptions!$F$13,3,IF(K7&lt;=Assumptions!$G$13,4,5))))),5)</f>
        <v>2</v>
      </c>
      <c r="U7" s="27" t="n">
        <f aca="false">L7*Assumptions!$H$5+M7*Assumptions!$H$6+N7*Assumptions!$H$7+O7*Assumptions!$H$8+P7*Assumptions!$H$9+Q7*Assumptions!$H$10+R7*Assumptions!$H$11+S7*Assumptions!$H$12+T7*Assumptions!$H$13</f>
        <v>1.3</v>
      </c>
      <c r="V7" s="19" t="str">
        <f aca="false">INDEX(Assumptions!$B$19:$B$30,MATCH(U7,Assumptions!$A$19:$A$30,1))</f>
        <v>AA</v>
      </c>
      <c r="W7" s="18" t="n">
        <f aca="false">RANK(U7,$U$5:$U$16,1)</f>
        <v>2</v>
      </c>
    </row>
    <row r="8" customFormat="false" ht="15" hidden="false" customHeight="false" outlineLevel="0" collapsed="false">
      <c r="A8" s="9" t="str">
        <f aca="false">'Peer Data'!A8</f>
        <v>BSO</v>
      </c>
      <c r="B8" s="9" t="str">
        <f aca="false">'Peer Data'!B8</f>
        <v>Bank of Syria and Overseas</v>
      </c>
      <c r="C8" s="17" t="n">
        <f aca="false">IF('Peer Data'!N8&lt;=0,"n.m.",'Peer Data'!M8/'Peer Data'!N8)</f>
        <v>0.380448699399542</v>
      </c>
      <c r="D8" s="17" t="n">
        <f aca="false">IF('Peer Data'!N8&lt;=0,"n.m.",'Peer Data'!L8/'Peer Data'!N8)</f>
        <v>0.379770049578237</v>
      </c>
      <c r="E8" s="17" t="n">
        <f aca="false">IF('Peer Data'!F8&lt;=0,"n.m.",'Peer Data'!G8/'Peer Data'!F8)</f>
        <v>0.0320157393586137</v>
      </c>
      <c r="F8" s="17" t="n">
        <f aca="false">IF(('Peer Data'!L8+'Peer Data'!H8)&lt;=0,"n.m.",'Peer Data'!G8/('Peer Data'!L8+'Peer Data'!H8))</f>
        <v>0.00353586838835958</v>
      </c>
      <c r="G8" s="22" t="n">
        <f aca="false">IF('Peer Data'!N8&lt;=0,"n.m.",'Peer Data'!Q8*12/Inputs!$C$7/'Peer Data'!N8)</f>
        <v>0.0252386859544545</v>
      </c>
      <c r="H8" s="22" t="n">
        <f aca="false">IF('Peer Data'!N8&lt;=0,"n.m.",('Peer Data'!O8-'Peer Data'!P8)*12/Inputs!$C$7/'Peer Data'!N8)</f>
        <v>0.0336708549415101</v>
      </c>
      <c r="I8" s="17" t="n">
        <f aca="false">IF('Peer Data'!D8&lt;=0,"n.m.",('Peer Data'!K8-'Peer Data'!I8-'Peer Data'!J8-'Peer Data'!E8)/'Peer Data'!D8)</f>
        <v>-0.652030906704509</v>
      </c>
      <c r="J8" s="17" t="n">
        <f aca="false">IF('Peer Data'!I8&lt;=0,"n.m.",'Peer Data'!E8/'Peer Data'!I8)</f>
        <v>1.04312253727827</v>
      </c>
      <c r="K8" s="17" t="n">
        <f aca="false">IF('Peer Data'!O8&lt;=0,"n.m.",'Peer Data'!P8/'Peer Data'!O8)</f>
        <v>0.521404605270511</v>
      </c>
      <c r="L8" s="18" t="n">
        <f aca="false">IF(ISNUMBER(C8),IF(Assumptions!$C$5="Higher",IF(C8&gt;=Assumptions!$D$5,1,IF(C8&gt;=Assumptions!$E$5,2,IF(C8&gt;=Assumptions!$F$5,3,IF(C8&gt;=Assumptions!$G$5,4,5)))),IF(C8&lt;=Assumptions!$D$5,1,IF(C8&lt;=Assumptions!$E$5,2,IF(C8&lt;=Assumptions!$F$5,3,IF(C8&lt;=Assumptions!$G$5,4,5))))),5)</f>
        <v>1</v>
      </c>
      <c r="M8" s="18" t="n">
        <f aca="false">IF(ISNUMBER(D8),IF(Assumptions!$C$6="Higher",IF(D8&gt;=Assumptions!$D$6,1,IF(D8&gt;=Assumptions!$E$6,2,IF(D8&gt;=Assumptions!$F$6,3,IF(D8&gt;=Assumptions!$G$6,4,5)))),IF(D8&lt;=Assumptions!$D$6,1,IF(D8&lt;=Assumptions!$E$6,2,IF(D8&lt;=Assumptions!$F$6,3,IF(D8&lt;=Assumptions!$G$6,4,5))))),5)</f>
        <v>1</v>
      </c>
      <c r="N8" s="18" t="n">
        <f aca="false">IF(ISNUMBER(E8),IF(Assumptions!$C$7="Higher",IF(E8&gt;=Assumptions!$D$7,1,IF(E8&gt;=Assumptions!$E$7,2,IF(E8&gt;=Assumptions!$F$7,3,IF(E8&gt;=Assumptions!$G$7,4,5)))),IF(E8&lt;=Assumptions!$D$7,1,IF(E8&lt;=Assumptions!$E$7,2,IF(E8&lt;=Assumptions!$F$7,3,IF(E8&lt;=Assumptions!$G$7,4,5))))),5)</f>
        <v>2</v>
      </c>
      <c r="O8" s="18" t="n">
        <f aca="false">IF(ISNUMBER(F8),IF(Assumptions!$C$8="Higher",IF(F8&gt;=Assumptions!$D$8,1,IF(F8&gt;=Assumptions!$E$8,2,IF(F8&gt;=Assumptions!$F$8,3,IF(F8&gt;=Assumptions!$G$8,4,5)))),IF(F8&lt;=Assumptions!$D$8,1,IF(F8&lt;=Assumptions!$E$8,2,IF(F8&lt;=Assumptions!$F$8,3,IF(F8&lt;=Assumptions!$G$8,4,5))))),5)</f>
        <v>1</v>
      </c>
      <c r="P8" s="18" t="n">
        <f aca="false">IF(ISNUMBER(G8),IF(Assumptions!$C$9="Higher",IF(G8&gt;=Assumptions!$D$9,1,IF(G8&gt;=Assumptions!$E$9,2,IF(G8&gt;=Assumptions!$F$9,3,IF(G8&gt;=Assumptions!$G$9,4,5)))),IF(G8&lt;=Assumptions!$D$9,1,IF(G8&lt;=Assumptions!$E$9,2,IF(G8&lt;=Assumptions!$F$9,3,IF(G8&lt;=Assumptions!$G$9,4,5))))),5)</f>
        <v>1</v>
      </c>
      <c r="Q8" s="18" t="n">
        <f aca="false">IF(ISNUMBER(H8),IF(Assumptions!$C$10="Higher",IF(H8&gt;=Assumptions!$D$10,1,IF(H8&gt;=Assumptions!$E$10,2,IF(H8&gt;=Assumptions!$F$10,3,IF(H8&gt;=Assumptions!$G$10,4,5)))),IF(H8&lt;=Assumptions!$D$10,1,IF(H8&lt;=Assumptions!$E$10,2,IF(H8&lt;=Assumptions!$F$10,3,IF(H8&lt;=Assumptions!$G$10,4,5))))),5)</f>
        <v>2</v>
      </c>
      <c r="R8" s="18" t="n">
        <f aca="false">IF(ISNUMBER(I8),IF(Assumptions!$C$11="Higher",IF(I8&gt;=Assumptions!$D$11,1,IF(I8&gt;=Assumptions!$E$11,2,IF(I8&gt;=Assumptions!$F$11,3,IF(I8&gt;=Assumptions!$G$11,4,5)))),IF(I8&lt;=Assumptions!$D$11,1,IF(I8&lt;=Assumptions!$E$11,2,IF(I8&lt;=Assumptions!$F$11,3,IF(I8&lt;=Assumptions!$G$11,4,5))))),5)</f>
        <v>1</v>
      </c>
      <c r="S8" s="18" t="n">
        <f aca="false">IF(ISNUMBER(J8),IF(Assumptions!$C$12="Higher",IF(J8&gt;=Assumptions!$D$12,1,IF(J8&gt;=Assumptions!$E$12,2,IF(J8&gt;=Assumptions!$F$12,3,IF(J8&gt;=Assumptions!$G$12,4,5)))),IF(J8&lt;=Assumptions!$D$12,1,IF(J8&lt;=Assumptions!$E$12,2,IF(J8&lt;=Assumptions!$F$12,3,IF(J8&lt;=Assumptions!$G$12,4,5))))),5)</f>
        <v>1</v>
      </c>
      <c r="T8" s="18" t="n">
        <f aca="false">IF(ISNUMBER(K8),IF(Assumptions!$C$13="Higher",IF(K8&gt;=Assumptions!$D$13,1,IF(K8&gt;=Assumptions!$E$13,2,IF(K8&gt;=Assumptions!$F$13,3,IF(K8&gt;=Assumptions!$G$13,4,5)))),IF(K8&lt;=Assumptions!$D$13,1,IF(K8&lt;=Assumptions!$E$13,2,IF(K8&lt;=Assumptions!$F$13,3,IF(K8&lt;=Assumptions!$G$13,4,5))))),5)</f>
        <v>2</v>
      </c>
      <c r="U8" s="27" t="n">
        <f aca="false">L8*Assumptions!$H$5+M8*Assumptions!$H$6+N8*Assumptions!$H$7+O8*Assumptions!$H$8+P8*Assumptions!$H$9+Q8*Assumptions!$H$10+R8*Assumptions!$H$11+S8*Assumptions!$H$12+T8*Assumptions!$H$13</f>
        <v>1.35</v>
      </c>
      <c r="V8" s="19" t="str">
        <f aca="false">INDEX(Assumptions!$B$19:$B$30,MATCH(U8,Assumptions!$A$19:$A$30,1))</f>
        <v>AA</v>
      </c>
      <c r="W8" s="18" t="n">
        <f aca="false">RANK(U8,$U$5:$U$16,1)</f>
        <v>3</v>
      </c>
    </row>
    <row r="9" customFormat="false" ht="15" hidden="false" customHeight="false" outlineLevel="0" collapsed="false">
      <c r="A9" s="9" t="str">
        <f aca="false">'Peer Data'!A9</f>
        <v>IBTF</v>
      </c>
      <c r="B9" s="9" t="str">
        <f aca="false">'Peer Data'!B9</f>
        <v>Intl. Bank for Trade &amp; Finance</v>
      </c>
      <c r="C9" s="17" t="n">
        <f aca="false">IF('Peer Data'!N9&lt;=0,"n.m.",'Peer Data'!M9/'Peer Data'!N9)</f>
        <v>0.588654826305732</v>
      </c>
      <c r="D9" s="17" t="n">
        <f aca="false">IF('Peer Data'!N9&lt;=0,"n.m.",'Peer Data'!L9/'Peer Data'!N9)</f>
        <v>0.582721818415487</v>
      </c>
      <c r="E9" s="17" t="n">
        <f aca="false">IF('Peer Data'!F9&lt;=0,"n.m.",'Peer Data'!G9/'Peer Data'!F9)</f>
        <v>0.00616886839090238</v>
      </c>
      <c r="F9" s="17" t="n">
        <f aca="false">IF(('Peer Data'!L9+'Peer Data'!H9)&lt;=0,"n.m.",'Peer Data'!G9/('Peer Data'!L9+'Peer Data'!H9))</f>
        <v>0.00117360065348218</v>
      </c>
      <c r="G9" s="22" t="n">
        <f aca="false">IF('Peer Data'!N9&lt;=0,"n.m.",'Peer Data'!Q9*12/Inputs!$C$7/'Peer Data'!N9)</f>
        <v>0.0323578240501354</v>
      </c>
      <c r="H9" s="22" t="n">
        <f aca="false">IF('Peer Data'!N9&lt;=0,"n.m.",('Peer Data'!O9-'Peer Data'!P9)*12/Inputs!$C$7/'Peer Data'!N9)</f>
        <v>0.039200523553706</v>
      </c>
      <c r="I9" s="17" t="n">
        <f aca="false">IF('Peer Data'!D9&lt;=0,"n.m.",('Peer Data'!K9-'Peer Data'!I9-'Peer Data'!J9-'Peer Data'!E9)/'Peer Data'!D9)</f>
        <v>-0.571752882221062</v>
      </c>
      <c r="J9" s="17" t="n">
        <f aca="false">IF('Peer Data'!I9&lt;=0,"n.m.",'Peer Data'!E9/'Peer Data'!I9)</f>
        <v>1.11330142940311</v>
      </c>
      <c r="K9" s="17" t="n">
        <f aca="false">IF('Peer Data'!O9&lt;=0,"n.m.",'Peer Data'!P9/'Peer Data'!O9)</f>
        <v>0.511816174418746</v>
      </c>
      <c r="L9" s="18" t="n">
        <f aca="false">IF(ISNUMBER(C9),IF(Assumptions!$C$5="Higher",IF(C9&gt;=Assumptions!$D$5,1,IF(C9&gt;=Assumptions!$E$5,2,IF(C9&gt;=Assumptions!$F$5,3,IF(C9&gt;=Assumptions!$G$5,4,5)))),IF(C9&lt;=Assumptions!$D$5,1,IF(C9&lt;=Assumptions!$E$5,2,IF(C9&lt;=Assumptions!$F$5,3,IF(C9&lt;=Assumptions!$G$5,4,5))))),5)</f>
        <v>1</v>
      </c>
      <c r="M9" s="18" t="n">
        <f aca="false">IF(ISNUMBER(D9),IF(Assumptions!$C$6="Higher",IF(D9&gt;=Assumptions!$D$6,1,IF(D9&gt;=Assumptions!$E$6,2,IF(D9&gt;=Assumptions!$F$6,3,IF(D9&gt;=Assumptions!$G$6,4,5)))),IF(D9&lt;=Assumptions!$D$6,1,IF(D9&lt;=Assumptions!$E$6,2,IF(D9&lt;=Assumptions!$F$6,3,IF(D9&lt;=Assumptions!$G$6,4,5))))),5)</f>
        <v>1</v>
      </c>
      <c r="N9" s="18" t="n">
        <f aca="false">IF(ISNUMBER(E9),IF(Assumptions!$C$7="Higher",IF(E9&gt;=Assumptions!$D$7,1,IF(E9&gt;=Assumptions!$E$7,2,IF(E9&gt;=Assumptions!$F$7,3,IF(E9&gt;=Assumptions!$G$7,4,5)))),IF(E9&lt;=Assumptions!$D$7,1,IF(E9&lt;=Assumptions!$E$7,2,IF(E9&lt;=Assumptions!$F$7,3,IF(E9&lt;=Assumptions!$G$7,4,5))))),5)</f>
        <v>1</v>
      </c>
      <c r="O9" s="18" t="n">
        <f aca="false">IF(ISNUMBER(F9),IF(Assumptions!$C$8="Higher",IF(F9&gt;=Assumptions!$D$8,1,IF(F9&gt;=Assumptions!$E$8,2,IF(F9&gt;=Assumptions!$F$8,3,IF(F9&gt;=Assumptions!$G$8,4,5)))),IF(F9&lt;=Assumptions!$D$8,1,IF(F9&lt;=Assumptions!$E$8,2,IF(F9&lt;=Assumptions!$F$8,3,IF(F9&lt;=Assumptions!$G$8,4,5))))),5)</f>
        <v>1</v>
      </c>
      <c r="P9" s="18" t="n">
        <f aca="false">IF(ISNUMBER(G9),IF(Assumptions!$C$9="Higher",IF(G9&gt;=Assumptions!$D$9,1,IF(G9&gt;=Assumptions!$E$9,2,IF(G9&gt;=Assumptions!$F$9,3,IF(G9&gt;=Assumptions!$G$9,4,5)))),IF(G9&lt;=Assumptions!$D$9,1,IF(G9&lt;=Assumptions!$E$9,2,IF(G9&lt;=Assumptions!$F$9,3,IF(G9&lt;=Assumptions!$G$9,4,5))))),5)</f>
        <v>1</v>
      </c>
      <c r="Q9" s="18" t="n">
        <f aca="false">IF(ISNUMBER(H9),IF(Assumptions!$C$10="Higher",IF(H9&gt;=Assumptions!$D$10,1,IF(H9&gt;=Assumptions!$E$10,2,IF(H9&gt;=Assumptions!$F$10,3,IF(H9&gt;=Assumptions!$G$10,4,5)))),IF(H9&lt;=Assumptions!$D$10,1,IF(H9&lt;=Assumptions!$E$10,2,IF(H9&lt;=Assumptions!$F$10,3,IF(H9&lt;=Assumptions!$G$10,4,5))))),5)</f>
        <v>2</v>
      </c>
      <c r="R9" s="18" t="n">
        <f aca="false">IF(ISNUMBER(I9),IF(Assumptions!$C$11="Higher",IF(I9&gt;=Assumptions!$D$11,1,IF(I9&gt;=Assumptions!$E$11,2,IF(I9&gt;=Assumptions!$F$11,3,IF(I9&gt;=Assumptions!$G$11,4,5)))),IF(I9&lt;=Assumptions!$D$11,1,IF(I9&lt;=Assumptions!$E$11,2,IF(I9&lt;=Assumptions!$F$11,3,IF(I9&lt;=Assumptions!$G$11,4,5))))),5)</f>
        <v>1</v>
      </c>
      <c r="S9" s="18" t="n">
        <f aca="false">IF(ISNUMBER(J9),IF(Assumptions!$C$12="Higher",IF(J9&gt;=Assumptions!$D$12,1,IF(J9&gt;=Assumptions!$E$12,2,IF(J9&gt;=Assumptions!$F$12,3,IF(J9&gt;=Assumptions!$G$12,4,5)))),IF(J9&lt;=Assumptions!$D$12,1,IF(J9&lt;=Assumptions!$E$12,2,IF(J9&lt;=Assumptions!$F$12,3,IF(J9&lt;=Assumptions!$G$12,4,5))))),5)</f>
        <v>1</v>
      </c>
      <c r="T9" s="18" t="n">
        <f aca="false">IF(ISNUMBER(K9),IF(Assumptions!$C$13="Higher",IF(K9&gt;=Assumptions!$D$13,1,IF(K9&gt;=Assumptions!$E$13,2,IF(K9&gt;=Assumptions!$F$13,3,IF(K9&gt;=Assumptions!$G$13,4,5)))),IF(K9&lt;=Assumptions!$D$13,1,IF(K9&lt;=Assumptions!$E$13,2,IF(K9&lt;=Assumptions!$F$13,3,IF(K9&lt;=Assumptions!$G$13,4,5))))),5)</f>
        <v>2</v>
      </c>
      <c r="U9" s="27" t="n">
        <f aca="false">L9*Assumptions!$H$5+M9*Assumptions!$H$6+N9*Assumptions!$H$7+O9*Assumptions!$H$8+P9*Assumptions!$H$9+Q9*Assumptions!$H$10+R9*Assumptions!$H$11+S9*Assumptions!$H$12+T9*Assumptions!$H$13</f>
        <v>1.2</v>
      </c>
      <c r="V9" s="19" t="str">
        <f aca="false">INDEX(Assumptions!$B$19:$B$30,MATCH(U9,Assumptions!$A$19:$A$30,1))</f>
        <v>AA</v>
      </c>
      <c r="W9" s="18" t="n">
        <f aca="false">RANK(U9,$U$5:$U$16,1)</f>
        <v>1</v>
      </c>
    </row>
    <row r="10" customFormat="false" ht="15" hidden="false" customHeight="false" outlineLevel="0" collapsed="false">
      <c r="A10" s="9" t="str">
        <f aca="false">'Peer Data'!A10</f>
        <v>ATB</v>
      </c>
      <c r="B10" s="9" t="str">
        <f aca="false">'Peer Data'!B10</f>
        <v>Al Ahli Bank</v>
      </c>
      <c r="C10" s="17" t="n">
        <f aca="false">IF('Peer Data'!N10&lt;=0,"n.m.",'Peer Data'!M10/'Peer Data'!N10)</f>
        <v>0.35258098596136</v>
      </c>
      <c r="D10" s="17" t="n">
        <f aca="false">IF('Peer Data'!N10&lt;=0,"n.m.",'Peer Data'!L10/'Peer Data'!N10)</f>
        <v>0.497357449582649</v>
      </c>
      <c r="E10" s="17" t="n">
        <f aca="false">IF('Peer Data'!F10&lt;=0,"n.m.",'Peer Data'!G10/'Peer Data'!F10)</f>
        <v>0.031806486484298</v>
      </c>
      <c r="F10" s="17" t="n">
        <f aca="false">IF(('Peer Data'!L10+'Peer Data'!H10)&lt;=0,"n.m.",'Peer Data'!G10/('Peer Data'!L10+'Peer Data'!H10))</f>
        <v>0.0105971637118064</v>
      </c>
      <c r="G10" s="22" t="n">
        <f aca="false">IF('Peer Data'!N10&lt;=0,"n.m.",'Peer Data'!Q10*12/Inputs!$C$7/'Peer Data'!N10)</f>
        <v>0.0117035573071843</v>
      </c>
      <c r="H10" s="22" t="n">
        <f aca="false">IF('Peer Data'!N10&lt;=0,"n.m.",('Peer Data'!O10-'Peer Data'!P10)*12/Inputs!$C$7/'Peer Data'!N10)</f>
        <v>0.029951514489667</v>
      </c>
      <c r="I10" s="17" t="n">
        <f aca="false">IF('Peer Data'!D10&lt;=0,"n.m.",('Peer Data'!K10-'Peer Data'!I10-'Peer Data'!J10-'Peer Data'!E10)/'Peer Data'!D10)</f>
        <v>-0.391414708853293</v>
      </c>
      <c r="J10" s="17" t="n">
        <f aca="false">IF('Peer Data'!I10&lt;=0,"n.m.",'Peer Data'!E10/'Peer Data'!I10)</f>
        <v>1.39387731139178</v>
      </c>
      <c r="K10" s="17" t="n">
        <f aca="false">IF('Peer Data'!O10&lt;=0,"n.m.",'Peer Data'!P10/'Peer Data'!O10)</f>
        <v>0.59398582229932</v>
      </c>
      <c r="L10" s="18" t="n">
        <f aca="false">IF(ISNUMBER(C10),IF(Assumptions!$C$5="Higher",IF(C10&gt;=Assumptions!$D$5,1,IF(C10&gt;=Assumptions!$E$5,2,IF(C10&gt;=Assumptions!$F$5,3,IF(C10&gt;=Assumptions!$G$5,4,5)))),IF(C10&lt;=Assumptions!$D$5,1,IF(C10&lt;=Assumptions!$E$5,2,IF(C10&lt;=Assumptions!$F$5,3,IF(C10&lt;=Assumptions!$G$5,4,5))))),5)</f>
        <v>1</v>
      </c>
      <c r="M10" s="18" t="n">
        <f aca="false">IF(ISNUMBER(D10),IF(Assumptions!$C$6="Higher",IF(D10&gt;=Assumptions!$D$6,1,IF(D10&gt;=Assumptions!$E$6,2,IF(D10&gt;=Assumptions!$F$6,3,IF(D10&gt;=Assumptions!$G$6,4,5)))),IF(D10&lt;=Assumptions!$D$6,1,IF(D10&lt;=Assumptions!$E$6,2,IF(D10&lt;=Assumptions!$F$6,3,IF(D10&lt;=Assumptions!$G$6,4,5))))),5)</f>
        <v>1</v>
      </c>
      <c r="N10" s="18" t="n">
        <f aca="false">IF(ISNUMBER(E10),IF(Assumptions!$C$7="Higher",IF(E10&gt;=Assumptions!$D$7,1,IF(E10&gt;=Assumptions!$E$7,2,IF(E10&gt;=Assumptions!$F$7,3,IF(E10&gt;=Assumptions!$G$7,4,5)))),IF(E10&lt;=Assumptions!$D$7,1,IF(E10&lt;=Assumptions!$E$7,2,IF(E10&lt;=Assumptions!$F$7,3,IF(E10&lt;=Assumptions!$G$7,4,5))))),5)</f>
        <v>2</v>
      </c>
      <c r="O10" s="18" t="n">
        <f aca="false">IF(ISNUMBER(F10),IF(Assumptions!$C$8="Higher",IF(F10&gt;=Assumptions!$D$8,1,IF(F10&gt;=Assumptions!$E$8,2,IF(F10&gt;=Assumptions!$F$8,3,IF(F10&gt;=Assumptions!$G$8,4,5)))),IF(F10&lt;=Assumptions!$D$8,1,IF(F10&lt;=Assumptions!$E$8,2,IF(F10&lt;=Assumptions!$F$8,3,IF(F10&lt;=Assumptions!$G$8,4,5))))),5)</f>
        <v>1</v>
      </c>
      <c r="P10" s="18" t="n">
        <f aca="false">IF(ISNUMBER(G10),IF(Assumptions!$C$9="Higher",IF(G10&gt;=Assumptions!$D$9,1,IF(G10&gt;=Assumptions!$E$9,2,IF(G10&gt;=Assumptions!$F$9,3,IF(G10&gt;=Assumptions!$G$9,4,5)))),IF(G10&lt;=Assumptions!$D$9,1,IF(G10&lt;=Assumptions!$E$9,2,IF(G10&lt;=Assumptions!$F$9,3,IF(G10&lt;=Assumptions!$G$9,4,5))))),5)</f>
        <v>3</v>
      </c>
      <c r="Q10" s="18" t="n">
        <f aca="false">IF(ISNUMBER(H10),IF(Assumptions!$C$10="Higher",IF(H10&gt;=Assumptions!$D$10,1,IF(H10&gt;=Assumptions!$E$10,2,IF(H10&gt;=Assumptions!$F$10,3,IF(H10&gt;=Assumptions!$G$10,4,5)))),IF(H10&lt;=Assumptions!$D$10,1,IF(H10&lt;=Assumptions!$E$10,2,IF(H10&lt;=Assumptions!$F$10,3,IF(H10&lt;=Assumptions!$G$10,4,5))))),5)</f>
        <v>2</v>
      </c>
      <c r="R10" s="18" t="n">
        <f aca="false">IF(ISNUMBER(I10),IF(Assumptions!$C$11="Higher",IF(I10&gt;=Assumptions!$D$11,1,IF(I10&gt;=Assumptions!$E$11,2,IF(I10&gt;=Assumptions!$F$11,3,IF(I10&gt;=Assumptions!$G$11,4,5)))),IF(I10&lt;=Assumptions!$D$11,1,IF(I10&lt;=Assumptions!$E$11,2,IF(I10&lt;=Assumptions!$F$11,3,IF(I10&lt;=Assumptions!$G$11,4,5))))),5)</f>
        <v>1</v>
      </c>
      <c r="S10" s="18" t="n">
        <f aca="false">IF(ISNUMBER(J10),IF(Assumptions!$C$12="Higher",IF(J10&gt;=Assumptions!$D$12,1,IF(J10&gt;=Assumptions!$E$12,2,IF(J10&gt;=Assumptions!$F$12,3,IF(J10&gt;=Assumptions!$G$12,4,5)))),IF(J10&lt;=Assumptions!$D$12,1,IF(J10&lt;=Assumptions!$E$12,2,IF(J10&lt;=Assumptions!$F$12,3,IF(J10&lt;=Assumptions!$G$12,4,5))))),5)</f>
        <v>1</v>
      </c>
      <c r="T10" s="18" t="n">
        <f aca="false">IF(ISNUMBER(K10),IF(Assumptions!$C$13="Higher",IF(K10&gt;=Assumptions!$D$13,1,IF(K10&gt;=Assumptions!$E$13,2,IF(K10&gt;=Assumptions!$F$13,3,IF(K10&gt;=Assumptions!$G$13,4,5)))),IF(K10&lt;=Assumptions!$D$13,1,IF(K10&lt;=Assumptions!$E$13,2,IF(K10&lt;=Assumptions!$F$13,3,IF(K10&lt;=Assumptions!$G$13,4,5))))),5)</f>
        <v>3</v>
      </c>
      <c r="U10" s="27" t="n">
        <f aca="false">L10*Assumptions!$H$5+M10*Assumptions!$H$6+N10*Assumptions!$H$7+O10*Assumptions!$H$8+P10*Assumptions!$H$9+Q10*Assumptions!$H$10+R10*Assumptions!$H$11+S10*Assumptions!$H$12+T10*Assumptions!$H$13</f>
        <v>1.65</v>
      </c>
      <c r="V10" s="19" t="str">
        <f aca="false">INDEX(Assumptions!$B$19:$B$30,MATCH(U10,Assumptions!$A$19:$A$30,1))</f>
        <v>A</v>
      </c>
      <c r="W10" s="18" t="n">
        <f aca="false">RANK(U10,$U$5:$U$16,1)</f>
        <v>6</v>
      </c>
    </row>
    <row r="11" customFormat="false" ht="15" hidden="false" customHeight="false" outlineLevel="0" collapsed="false">
      <c r="A11" s="9" t="str">
        <f aca="false">'Peer Data'!A11</f>
        <v>FSBS</v>
      </c>
      <c r="B11" s="9" t="str">
        <f aca="false">'Peer Data'!B11</f>
        <v>Fransabank Syria</v>
      </c>
      <c r="C11" s="17" t="n">
        <f aca="false">IF('Peer Data'!N11&lt;=0,"n.m.",'Peer Data'!M11/'Peer Data'!N11)</f>
        <v>0.543053760395143</v>
      </c>
      <c r="D11" s="17" t="n">
        <f aca="false">IF('Peer Data'!N11&lt;=0,"n.m.",'Peer Data'!L11/'Peer Data'!N11)</f>
        <v>0.549630734891619</v>
      </c>
      <c r="E11" s="17" t="n">
        <f aca="false">IF('Peer Data'!F11&lt;=0,"n.m.",'Peer Data'!G11/'Peer Data'!F11)</f>
        <v>0.49769532150265</v>
      </c>
      <c r="F11" s="17" t="n">
        <f aca="false">IF(('Peer Data'!L11+'Peer Data'!H11)&lt;=0,"n.m.",'Peer Data'!G11/('Peer Data'!L11+'Peer Data'!H11))</f>
        <v>0.262421635992354</v>
      </c>
      <c r="G11" s="22" t="n">
        <f aca="false">IF('Peer Data'!N11&lt;=0,"n.m.",'Peer Data'!Q11*12/Inputs!$C$7/'Peer Data'!N11)</f>
        <v>-0.0252176666010958</v>
      </c>
      <c r="H11" s="22" t="n">
        <f aca="false">IF('Peer Data'!N11&lt;=0,"n.m.",('Peer Data'!O11-'Peer Data'!P11)*12/Inputs!$C$7/'Peer Data'!N11)</f>
        <v>-0.0159001063362016</v>
      </c>
      <c r="I11" s="17" t="n">
        <f aca="false">IF('Peer Data'!D11&lt;=0,"n.m.",('Peer Data'!K11-'Peer Data'!I11-'Peer Data'!J11-'Peer Data'!E11)/'Peer Data'!D11)</f>
        <v>-0.619560491527106</v>
      </c>
      <c r="J11" s="17" t="n">
        <f aca="false">IF('Peer Data'!I11&lt;=0,"n.m.",'Peer Data'!E11/'Peer Data'!I11)</f>
        <v>1.7786685870289</v>
      </c>
      <c r="K11" s="17" t="n">
        <f aca="false">IF('Peer Data'!O11&lt;=0,"n.m.",'Peer Data'!P11/'Peer Data'!O11)</f>
        <v>1.61027431042987</v>
      </c>
      <c r="L11" s="18" t="n">
        <f aca="false">IF(ISNUMBER(C11),IF(Assumptions!$C$5="Higher",IF(C11&gt;=Assumptions!$D$5,1,IF(C11&gt;=Assumptions!$E$5,2,IF(C11&gt;=Assumptions!$F$5,3,IF(C11&gt;=Assumptions!$G$5,4,5)))),IF(C11&lt;=Assumptions!$D$5,1,IF(C11&lt;=Assumptions!$E$5,2,IF(C11&lt;=Assumptions!$F$5,3,IF(C11&lt;=Assumptions!$G$5,4,5))))),5)</f>
        <v>1</v>
      </c>
      <c r="M11" s="18" t="n">
        <f aca="false">IF(ISNUMBER(D11),IF(Assumptions!$C$6="Higher",IF(D11&gt;=Assumptions!$D$6,1,IF(D11&gt;=Assumptions!$E$6,2,IF(D11&gt;=Assumptions!$F$6,3,IF(D11&gt;=Assumptions!$G$6,4,5)))),IF(D11&lt;=Assumptions!$D$6,1,IF(D11&lt;=Assumptions!$E$6,2,IF(D11&lt;=Assumptions!$F$6,3,IF(D11&lt;=Assumptions!$G$6,4,5))))),5)</f>
        <v>1</v>
      </c>
      <c r="N11" s="18" t="n">
        <f aca="false">IF(ISNUMBER(E11),IF(Assumptions!$C$7="Higher",IF(E11&gt;=Assumptions!$D$7,1,IF(E11&gt;=Assumptions!$E$7,2,IF(E11&gt;=Assumptions!$F$7,3,IF(E11&gt;=Assumptions!$G$7,4,5)))),IF(E11&lt;=Assumptions!$D$7,1,IF(E11&lt;=Assumptions!$E$7,2,IF(E11&lt;=Assumptions!$F$7,3,IF(E11&lt;=Assumptions!$G$7,4,5))))),5)</f>
        <v>5</v>
      </c>
      <c r="O11" s="18" t="n">
        <f aca="false">IF(ISNUMBER(F11),IF(Assumptions!$C$8="Higher",IF(F11&gt;=Assumptions!$D$8,1,IF(F11&gt;=Assumptions!$E$8,2,IF(F11&gt;=Assumptions!$F$8,3,IF(F11&gt;=Assumptions!$G$8,4,5)))),IF(F11&lt;=Assumptions!$D$8,1,IF(F11&lt;=Assumptions!$E$8,2,IF(F11&lt;=Assumptions!$F$8,3,IF(F11&lt;=Assumptions!$G$8,4,5))))),5)</f>
        <v>3</v>
      </c>
      <c r="P11" s="18" t="n">
        <f aca="false">IF(ISNUMBER(G11),IF(Assumptions!$C$9="Higher",IF(G11&gt;=Assumptions!$D$9,1,IF(G11&gt;=Assumptions!$E$9,2,IF(G11&gt;=Assumptions!$F$9,3,IF(G11&gt;=Assumptions!$G$9,4,5)))),IF(G11&lt;=Assumptions!$D$9,1,IF(G11&lt;=Assumptions!$E$9,2,IF(G11&lt;=Assumptions!$F$9,3,IF(G11&lt;=Assumptions!$G$9,4,5))))),5)</f>
        <v>5</v>
      </c>
      <c r="Q11" s="18" t="n">
        <f aca="false">IF(ISNUMBER(H11),IF(Assumptions!$C$10="Higher",IF(H11&gt;=Assumptions!$D$10,1,IF(H11&gt;=Assumptions!$E$10,2,IF(H11&gt;=Assumptions!$F$10,3,IF(H11&gt;=Assumptions!$G$10,4,5)))),IF(H11&lt;=Assumptions!$D$10,1,IF(H11&lt;=Assumptions!$E$10,2,IF(H11&lt;=Assumptions!$F$10,3,IF(H11&lt;=Assumptions!$G$10,4,5))))),5)</f>
        <v>5</v>
      </c>
      <c r="R11" s="18" t="n">
        <f aca="false">IF(ISNUMBER(I11),IF(Assumptions!$C$11="Higher",IF(I11&gt;=Assumptions!$D$11,1,IF(I11&gt;=Assumptions!$E$11,2,IF(I11&gt;=Assumptions!$F$11,3,IF(I11&gt;=Assumptions!$G$11,4,5)))),IF(I11&lt;=Assumptions!$D$11,1,IF(I11&lt;=Assumptions!$E$11,2,IF(I11&lt;=Assumptions!$F$11,3,IF(I11&lt;=Assumptions!$G$11,4,5))))),5)</f>
        <v>1</v>
      </c>
      <c r="S11" s="18" t="n">
        <f aca="false">IF(ISNUMBER(J11),IF(Assumptions!$C$12="Higher",IF(J11&gt;=Assumptions!$D$12,1,IF(J11&gt;=Assumptions!$E$12,2,IF(J11&gt;=Assumptions!$F$12,3,IF(J11&gt;=Assumptions!$G$12,4,5)))),IF(J11&lt;=Assumptions!$D$12,1,IF(J11&lt;=Assumptions!$E$12,2,IF(J11&lt;=Assumptions!$F$12,3,IF(J11&lt;=Assumptions!$G$12,4,5))))),5)</f>
        <v>1</v>
      </c>
      <c r="T11" s="18" t="n">
        <f aca="false">IF(ISNUMBER(K11),IF(Assumptions!$C$13="Higher",IF(K11&gt;=Assumptions!$D$13,1,IF(K11&gt;=Assumptions!$E$13,2,IF(K11&gt;=Assumptions!$F$13,3,IF(K11&gt;=Assumptions!$G$13,4,5)))),IF(K11&lt;=Assumptions!$D$13,1,IF(K11&lt;=Assumptions!$E$13,2,IF(K11&lt;=Assumptions!$F$13,3,IF(K11&lt;=Assumptions!$G$13,4,5))))),5)</f>
        <v>5</v>
      </c>
      <c r="U11" s="27" t="n">
        <f aca="false">L11*Assumptions!$H$5+M11*Assumptions!$H$6+N11*Assumptions!$H$7+O11*Assumptions!$H$8+P11*Assumptions!$H$9+Q11*Assumptions!$H$10+R11*Assumptions!$H$11+S11*Assumptions!$H$12+T11*Assumptions!$H$13</f>
        <v>3.1</v>
      </c>
      <c r="V11" s="19" t="str">
        <f aca="false">INDEX(Assumptions!$B$19:$B$30,MATCH(U11,Assumptions!$A$19:$A$30,1))</f>
        <v>BB</v>
      </c>
      <c r="W11" s="18" t="n">
        <f aca="false">RANK(U11,$U$5:$U$16,1)</f>
        <v>10</v>
      </c>
    </row>
    <row r="12" customFormat="false" ht="15" hidden="false" customHeight="false" outlineLevel="0" collapsed="false">
      <c r="A12" s="9" t="str">
        <f aca="false">'Peer Data'!A12</f>
        <v>ARBS</v>
      </c>
      <c r="B12" s="9" t="str">
        <f aca="false">'Peer Data'!B12</f>
        <v>Arab Bank Syria</v>
      </c>
      <c r="C12" s="17" t="n">
        <f aca="false">IF('Peer Data'!N12&lt;=0,"n.m.",'Peer Data'!M12/'Peer Data'!N12)</f>
        <v>0.459529152975084</v>
      </c>
      <c r="D12" s="17" t="n">
        <f aca="false">IF('Peer Data'!N12&lt;=0,"n.m.",'Peer Data'!L12/'Peer Data'!N12)</f>
        <v>0.457044097653918</v>
      </c>
      <c r="E12" s="17" t="n">
        <f aca="false">IF('Peer Data'!F12&lt;=0,"n.m.",'Peer Data'!G12/'Peer Data'!F12)</f>
        <v>0.94203365896202</v>
      </c>
      <c r="F12" s="17" t="n">
        <f aca="false">IF(('Peer Data'!L12+'Peer Data'!H12)&lt;=0,"n.m.",'Peer Data'!G12/('Peer Data'!L12+'Peer Data'!H12))</f>
        <v>1.36040020103394</v>
      </c>
      <c r="G12" s="22" t="n">
        <f aca="false">IF('Peer Data'!N12&lt;=0,"n.m.",'Peer Data'!Q12*12/Inputs!$C$7/'Peer Data'!N12)</f>
        <v>-0.00466941794196857</v>
      </c>
      <c r="H12" s="22" t="n">
        <f aca="false">IF('Peer Data'!N12&lt;=0,"n.m.",('Peer Data'!O12-'Peer Data'!P12)*12/Inputs!$C$7/'Peer Data'!N12)</f>
        <v>-0.00471005549101356</v>
      </c>
      <c r="I12" s="17" t="n">
        <f aca="false">IF('Peer Data'!D12&lt;=0,"n.m.",('Peer Data'!K12-'Peer Data'!I12-'Peer Data'!J12-'Peer Data'!E12)/'Peer Data'!D12)</f>
        <v>-0.225252965258144</v>
      </c>
      <c r="J12" s="17" t="n">
        <f aca="false">IF('Peer Data'!I12&lt;=0,"n.m.",'Peer Data'!E12/'Peer Data'!I12)</f>
        <v>0.64375910306006</v>
      </c>
      <c r="K12" s="17" t="n">
        <f aca="false">IF('Peer Data'!O12&lt;=0,"n.m.",'Peer Data'!P12/'Peer Data'!O12)</f>
        <v>1.14020744424866</v>
      </c>
      <c r="L12" s="18" t="n">
        <f aca="false">IF(ISNUMBER(C12),IF(Assumptions!$C$5="Higher",IF(C12&gt;=Assumptions!$D$5,1,IF(C12&gt;=Assumptions!$E$5,2,IF(C12&gt;=Assumptions!$F$5,3,IF(C12&gt;=Assumptions!$G$5,4,5)))),IF(C12&lt;=Assumptions!$D$5,1,IF(C12&lt;=Assumptions!$E$5,2,IF(C12&lt;=Assumptions!$F$5,3,IF(C12&lt;=Assumptions!$G$5,4,5))))),5)</f>
        <v>1</v>
      </c>
      <c r="M12" s="18" t="n">
        <f aca="false">IF(ISNUMBER(D12),IF(Assumptions!$C$6="Higher",IF(D12&gt;=Assumptions!$D$6,1,IF(D12&gt;=Assumptions!$E$6,2,IF(D12&gt;=Assumptions!$F$6,3,IF(D12&gt;=Assumptions!$G$6,4,5)))),IF(D12&lt;=Assumptions!$D$6,1,IF(D12&lt;=Assumptions!$E$6,2,IF(D12&lt;=Assumptions!$F$6,3,IF(D12&lt;=Assumptions!$G$6,4,5))))),5)</f>
        <v>1</v>
      </c>
      <c r="N12" s="18" t="n">
        <f aca="false">IF(ISNUMBER(E12),IF(Assumptions!$C$7="Higher",IF(E12&gt;=Assumptions!$D$7,1,IF(E12&gt;=Assumptions!$E$7,2,IF(E12&gt;=Assumptions!$F$7,3,IF(E12&gt;=Assumptions!$G$7,4,5)))),IF(E12&lt;=Assumptions!$D$7,1,IF(E12&lt;=Assumptions!$E$7,2,IF(E12&lt;=Assumptions!$F$7,3,IF(E12&lt;=Assumptions!$G$7,4,5))))),5)</f>
        <v>5</v>
      </c>
      <c r="O12" s="18" t="n">
        <f aca="false">IF(ISNUMBER(F12),IF(Assumptions!$C$8="Higher",IF(F12&gt;=Assumptions!$D$8,1,IF(F12&gt;=Assumptions!$E$8,2,IF(F12&gt;=Assumptions!$F$8,3,IF(F12&gt;=Assumptions!$G$8,4,5)))),IF(F12&lt;=Assumptions!$D$8,1,IF(F12&lt;=Assumptions!$E$8,2,IF(F12&lt;=Assumptions!$F$8,3,IF(F12&lt;=Assumptions!$G$8,4,5))))),5)</f>
        <v>5</v>
      </c>
      <c r="P12" s="18" t="n">
        <f aca="false">IF(ISNUMBER(G12),IF(Assumptions!$C$9="Higher",IF(G12&gt;=Assumptions!$D$9,1,IF(G12&gt;=Assumptions!$E$9,2,IF(G12&gt;=Assumptions!$F$9,3,IF(G12&gt;=Assumptions!$G$9,4,5)))),IF(G12&lt;=Assumptions!$D$9,1,IF(G12&lt;=Assumptions!$E$9,2,IF(G12&lt;=Assumptions!$F$9,3,IF(G12&lt;=Assumptions!$G$9,4,5))))),5)</f>
        <v>5</v>
      </c>
      <c r="Q12" s="18" t="n">
        <f aca="false">IF(ISNUMBER(H12),IF(Assumptions!$C$10="Higher",IF(H12&gt;=Assumptions!$D$10,1,IF(H12&gt;=Assumptions!$E$10,2,IF(H12&gt;=Assumptions!$F$10,3,IF(H12&gt;=Assumptions!$G$10,4,5)))),IF(H12&lt;=Assumptions!$D$10,1,IF(H12&lt;=Assumptions!$E$10,2,IF(H12&lt;=Assumptions!$F$10,3,IF(H12&lt;=Assumptions!$G$10,4,5))))),5)</f>
        <v>5</v>
      </c>
      <c r="R12" s="18" t="n">
        <f aca="false">IF(ISNUMBER(I12),IF(Assumptions!$C$11="Higher",IF(I12&gt;=Assumptions!$D$11,1,IF(I12&gt;=Assumptions!$E$11,2,IF(I12&gt;=Assumptions!$F$11,3,IF(I12&gt;=Assumptions!$G$11,4,5)))),IF(I12&lt;=Assumptions!$D$11,1,IF(I12&lt;=Assumptions!$E$11,2,IF(I12&lt;=Assumptions!$F$11,3,IF(I12&lt;=Assumptions!$G$11,4,5))))),5)</f>
        <v>1</v>
      </c>
      <c r="S12" s="18" t="n">
        <f aca="false">IF(ISNUMBER(J12),IF(Assumptions!$C$12="Higher",IF(J12&gt;=Assumptions!$D$12,1,IF(J12&gt;=Assumptions!$E$12,2,IF(J12&gt;=Assumptions!$F$12,3,IF(J12&gt;=Assumptions!$G$12,4,5)))),IF(J12&lt;=Assumptions!$D$12,1,IF(J12&lt;=Assumptions!$E$12,2,IF(J12&lt;=Assumptions!$F$12,3,IF(J12&lt;=Assumptions!$G$12,4,5))))),5)</f>
        <v>1</v>
      </c>
      <c r="T12" s="18" t="n">
        <f aca="false">IF(ISNUMBER(K12),IF(Assumptions!$C$13="Higher",IF(K12&gt;=Assumptions!$D$13,1,IF(K12&gt;=Assumptions!$E$13,2,IF(K12&gt;=Assumptions!$F$13,3,IF(K12&gt;=Assumptions!$G$13,4,5)))),IF(K12&lt;=Assumptions!$D$13,1,IF(K12&lt;=Assumptions!$E$13,2,IF(K12&lt;=Assumptions!$F$13,3,IF(K12&lt;=Assumptions!$G$13,4,5))))),5)</f>
        <v>5</v>
      </c>
      <c r="U12" s="27" t="n">
        <f aca="false">L12*Assumptions!$H$5+M12*Assumptions!$H$6+N12*Assumptions!$H$7+O12*Assumptions!$H$8+P12*Assumptions!$H$9+Q12*Assumptions!$H$10+R12*Assumptions!$H$11+S12*Assumptions!$H$12+T12*Assumptions!$H$13</f>
        <v>3.4</v>
      </c>
      <c r="V12" s="19" t="str">
        <f aca="false">INDEX(Assumptions!$B$19:$B$30,MATCH(U12,Assumptions!$A$19:$A$30,1))</f>
        <v>BB-</v>
      </c>
      <c r="W12" s="18" t="n">
        <f aca="false">RANK(U12,$U$5:$U$16,1)</f>
        <v>12</v>
      </c>
    </row>
    <row r="13" customFormat="false" ht="15" hidden="false" customHeight="false" outlineLevel="0" collapsed="false">
      <c r="A13" s="9" t="str">
        <f aca="false">'Peer Data'!A13</f>
        <v>BBS</v>
      </c>
      <c r="B13" s="9" t="str">
        <f aca="false">'Peer Data'!B13</f>
        <v>Shahba Bank (ex-Byblos)</v>
      </c>
      <c r="C13" s="17" t="n">
        <f aca="false">IF('Peer Data'!N13&lt;=0,"n.m.",'Peer Data'!M13/'Peer Data'!N13)</f>
        <v>0.509693936501151</v>
      </c>
      <c r="D13" s="17" t="n">
        <f aca="false">IF('Peer Data'!N13&lt;=0,"n.m.",'Peer Data'!L13/'Peer Data'!N13)</f>
        <v>0.580405650339733</v>
      </c>
      <c r="E13" s="17" t="n">
        <f aca="false">IF('Peer Data'!F13&lt;=0,"n.m.",'Peer Data'!G13/'Peer Data'!F13)</f>
        <v>0.773070463943695</v>
      </c>
      <c r="F13" s="17" t="n">
        <f aca="false">IF(('Peer Data'!L13+'Peer Data'!H13)&lt;=0,"n.m.",'Peer Data'!G13/('Peer Data'!L13+'Peer Data'!H13))</f>
        <v>0.442165747303098</v>
      </c>
      <c r="G13" s="22" t="n">
        <f aca="false">IF('Peer Data'!N13&lt;=0,"n.m.",'Peer Data'!Q13*12/Inputs!$C$7/'Peer Data'!N13)</f>
        <v>-0.0347438945619581</v>
      </c>
      <c r="H13" s="22" t="n">
        <f aca="false">IF('Peer Data'!N13&lt;=0,"n.m.",('Peer Data'!O13-'Peer Data'!P13)*12/Inputs!$C$7/'Peer Data'!N13)</f>
        <v>-0.0160988142071699</v>
      </c>
      <c r="I13" s="17" t="n">
        <f aca="false">IF('Peer Data'!D13&lt;=0,"n.m.",('Peer Data'!K13-'Peer Data'!I13-'Peer Data'!J13-'Peer Data'!E13)/'Peer Data'!D13)</f>
        <v>-0.695690847423148</v>
      </c>
      <c r="J13" s="17" t="n">
        <f aca="false">IF('Peer Data'!I13&lt;=0,"n.m.",'Peer Data'!E13/'Peer Data'!I13)</f>
        <v>2.74717171819808</v>
      </c>
      <c r="K13" s="17" t="n">
        <f aca="false">IF('Peer Data'!O13&lt;=0,"n.m.",'Peer Data'!P13/'Peer Data'!O13)</f>
        <v>2.00226965932231</v>
      </c>
      <c r="L13" s="18" t="n">
        <f aca="false">IF(ISNUMBER(C13),IF(Assumptions!$C$5="Higher",IF(C13&gt;=Assumptions!$D$5,1,IF(C13&gt;=Assumptions!$E$5,2,IF(C13&gt;=Assumptions!$F$5,3,IF(C13&gt;=Assumptions!$G$5,4,5)))),IF(C13&lt;=Assumptions!$D$5,1,IF(C13&lt;=Assumptions!$E$5,2,IF(C13&lt;=Assumptions!$F$5,3,IF(C13&lt;=Assumptions!$G$5,4,5))))),5)</f>
        <v>1</v>
      </c>
      <c r="M13" s="18" t="n">
        <f aca="false">IF(ISNUMBER(D13),IF(Assumptions!$C$6="Higher",IF(D13&gt;=Assumptions!$D$6,1,IF(D13&gt;=Assumptions!$E$6,2,IF(D13&gt;=Assumptions!$F$6,3,IF(D13&gt;=Assumptions!$G$6,4,5)))),IF(D13&lt;=Assumptions!$D$6,1,IF(D13&lt;=Assumptions!$E$6,2,IF(D13&lt;=Assumptions!$F$6,3,IF(D13&lt;=Assumptions!$G$6,4,5))))),5)</f>
        <v>1</v>
      </c>
      <c r="N13" s="18" t="n">
        <f aca="false">IF(ISNUMBER(E13),IF(Assumptions!$C$7="Higher",IF(E13&gt;=Assumptions!$D$7,1,IF(E13&gt;=Assumptions!$E$7,2,IF(E13&gt;=Assumptions!$F$7,3,IF(E13&gt;=Assumptions!$G$7,4,5)))),IF(E13&lt;=Assumptions!$D$7,1,IF(E13&lt;=Assumptions!$E$7,2,IF(E13&lt;=Assumptions!$F$7,3,IF(E13&lt;=Assumptions!$G$7,4,5))))),5)</f>
        <v>5</v>
      </c>
      <c r="O13" s="18" t="n">
        <f aca="false">IF(ISNUMBER(F13),IF(Assumptions!$C$8="Higher",IF(F13&gt;=Assumptions!$D$8,1,IF(F13&gt;=Assumptions!$E$8,2,IF(F13&gt;=Assumptions!$F$8,3,IF(F13&gt;=Assumptions!$G$8,4,5)))),IF(F13&lt;=Assumptions!$D$8,1,IF(F13&lt;=Assumptions!$E$8,2,IF(F13&lt;=Assumptions!$F$8,3,IF(F13&lt;=Assumptions!$G$8,4,5))))),5)</f>
        <v>3</v>
      </c>
      <c r="P13" s="18" t="n">
        <f aca="false">IF(ISNUMBER(G13),IF(Assumptions!$C$9="Higher",IF(G13&gt;=Assumptions!$D$9,1,IF(G13&gt;=Assumptions!$E$9,2,IF(G13&gt;=Assumptions!$F$9,3,IF(G13&gt;=Assumptions!$G$9,4,5)))),IF(G13&lt;=Assumptions!$D$9,1,IF(G13&lt;=Assumptions!$E$9,2,IF(G13&lt;=Assumptions!$F$9,3,IF(G13&lt;=Assumptions!$G$9,4,5))))),5)</f>
        <v>5</v>
      </c>
      <c r="Q13" s="18" t="n">
        <f aca="false">IF(ISNUMBER(H13),IF(Assumptions!$C$10="Higher",IF(H13&gt;=Assumptions!$D$10,1,IF(H13&gt;=Assumptions!$E$10,2,IF(H13&gt;=Assumptions!$F$10,3,IF(H13&gt;=Assumptions!$G$10,4,5)))),IF(H13&lt;=Assumptions!$D$10,1,IF(H13&lt;=Assumptions!$E$10,2,IF(H13&lt;=Assumptions!$F$10,3,IF(H13&lt;=Assumptions!$G$10,4,5))))),5)</f>
        <v>5</v>
      </c>
      <c r="R13" s="18" t="n">
        <f aca="false">IF(ISNUMBER(I13),IF(Assumptions!$C$11="Higher",IF(I13&gt;=Assumptions!$D$11,1,IF(I13&gt;=Assumptions!$E$11,2,IF(I13&gt;=Assumptions!$F$11,3,IF(I13&gt;=Assumptions!$G$11,4,5)))),IF(I13&lt;=Assumptions!$D$11,1,IF(I13&lt;=Assumptions!$E$11,2,IF(I13&lt;=Assumptions!$F$11,3,IF(I13&lt;=Assumptions!$G$11,4,5))))),5)</f>
        <v>1</v>
      </c>
      <c r="S13" s="18" t="n">
        <f aca="false">IF(ISNUMBER(J13),IF(Assumptions!$C$12="Higher",IF(J13&gt;=Assumptions!$D$12,1,IF(J13&gt;=Assumptions!$E$12,2,IF(J13&gt;=Assumptions!$F$12,3,IF(J13&gt;=Assumptions!$G$12,4,5)))),IF(J13&lt;=Assumptions!$D$12,1,IF(J13&lt;=Assumptions!$E$12,2,IF(J13&lt;=Assumptions!$F$12,3,IF(J13&lt;=Assumptions!$G$12,4,5))))),5)</f>
        <v>1</v>
      </c>
      <c r="T13" s="18" t="n">
        <f aca="false">IF(ISNUMBER(K13),IF(Assumptions!$C$13="Higher",IF(K13&gt;=Assumptions!$D$13,1,IF(K13&gt;=Assumptions!$E$13,2,IF(K13&gt;=Assumptions!$F$13,3,IF(K13&gt;=Assumptions!$G$13,4,5)))),IF(K13&lt;=Assumptions!$D$13,1,IF(K13&lt;=Assumptions!$E$13,2,IF(K13&lt;=Assumptions!$F$13,3,IF(K13&lt;=Assumptions!$G$13,4,5))))),5)</f>
        <v>5</v>
      </c>
      <c r="U13" s="27" t="n">
        <f aca="false">L13*Assumptions!$H$5+M13*Assumptions!$H$6+N13*Assumptions!$H$7+O13*Assumptions!$H$8+P13*Assumptions!$H$9+Q13*Assumptions!$H$10+R13*Assumptions!$H$11+S13*Assumptions!$H$12+T13*Assumptions!$H$13</f>
        <v>3.1</v>
      </c>
      <c r="V13" s="19" t="str">
        <f aca="false">INDEX(Assumptions!$B$19:$B$30,MATCH(U13,Assumptions!$A$19:$A$30,1))</f>
        <v>BB</v>
      </c>
      <c r="W13" s="18" t="n">
        <f aca="false">RANK(U13,$U$5:$U$16,1)</f>
        <v>10</v>
      </c>
    </row>
    <row r="14" customFormat="false" ht="15" hidden="false" customHeight="false" outlineLevel="0" collapsed="false">
      <c r="A14" s="9" t="str">
        <f aca="false">'Peer Data'!A14</f>
        <v>BOJS</v>
      </c>
      <c r="B14" s="9" t="str">
        <f aca="false">'Peer Data'!B14</f>
        <v>Bank of Jordan Syria</v>
      </c>
      <c r="C14" s="17" t="n">
        <f aca="false">IF('Peer Data'!N14&lt;=0,"n.m.",'Peer Data'!M14/'Peer Data'!N14)</f>
        <v>1.34238098478084</v>
      </c>
      <c r="D14" s="17" t="n">
        <f aca="false">IF('Peer Data'!N14&lt;=0,"n.m.",'Peer Data'!L14/'Peer Data'!N14)</f>
        <v>1.31586862574414</v>
      </c>
      <c r="E14" s="17" t="n">
        <f aca="false">IF('Peer Data'!F14&lt;=0,"n.m.",'Peer Data'!G14/'Peer Data'!F14)</f>
        <v>0.0689799924422353</v>
      </c>
      <c r="F14" s="17" t="n">
        <f aca="false">IF(('Peer Data'!L14+'Peer Data'!H14)&lt;=0,"n.m.",'Peer Data'!G14/('Peer Data'!L14+'Peer Data'!H14))</f>
        <v>0.0411931897956193</v>
      </c>
      <c r="G14" s="22" t="n">
        <f aca="false">IF('Peer Data'!N14&lt;=0,"n.m.",'Peer Data'!Q14*12/Inputs!$C$7/'Peer Data'!N14)</f>
        <v>0.0363707591764243</v>
      </c>
      <c r="H14" s="22" t="n">
        <f aca="false">IF('Peer Data'!N14&lt;=0,"n.m.",('Peer Data'!O14-'Peer Data'!P14)*12/Inputs!$C$7/'Peer Data'!N14)</f>
        <v>0.0965045800578969</v>
      </c>
      <c r="I14" s="17" t="n">
        <f aca="false">IF('Peer Data'!D14&lt;=0,"n.m.",('Peer Data'!K14-'Peer Data'!I14-'Peer Data'!J14-'Peer Data'!E14)/'Peer Data'!D14)</f>
        <v>-0.62169985192129</v>
      </c>
      <c r="J14" s="17" t="n">
        <f aca="false">IF('Peer Data'!I14&lt;=0,"n.m.",'Peer Data'!E14/'Peer Data'!I14)</f>
        <v>1.21112852772121</v>
      </c>
      <c r="K14" s="17" t="n">
        <f aca="false">IF('Peer Data'!O14&lt;=0,"n.m.",'Peer Data'!P14/'Peer Data'!O14)</f>
        <v>0.470764845496055</v>
      </c>
      <c r="L14" s="18" t="n">
        <f aca="false">IF(ISNUMBER(C14),IF(Assumptions!$C$5="Higher",IF(C14&gt;=Assumptions!$D$5,1,IF(C14&gt;=Assumptions!$E$5,2,IF(C14&gt;=Assumptions!$F$5,3,IF(C14&gt;=Assumptions!$G$5,4,5)))),IF(C14&lt;=Assumptions!$D$5,1,IF(C14&lt;=Assumptions!$E$5,2,IF(C14&lt;=Assumptions!$F$5,3,IF(C14&lt;=Assumptions!$G$5,4,5))))),5)</f>
        <v>1</v>
      </c>
      <c r="M14" s="18" t="n">
        <f aca="false">IF(ISNUMBER(D14),IF(Assumptions!$C$6="Higher",IF(D14&gt;=Assumptions!$D$6,1,IF(D14&gt;=Assumptions!$E$6,2,IF(D14&gt;=Assumptions!$F$6,3,IF(D14&gt;=Assumptions!$G$6,4,5)))),IF(D14&lt;=Assumptions!$D$6,1,IF(D14&lt;=Assumptions!$E$6,2,IF(D14&lt;=Assumptions!$F$6,3,IF(D14&lt;=Assumptions!$G$6,4,5))))),5)</f>
        <v>1</v>
      </c>
      <c r="N14" s="18" t="n">
        <f aca="false">IF(ISNUMBER(E14),IF(Assumptions!$C$7="Higher",IF(E14&gt;=Assumptions!$D$7,1,IF(E14&gt;=Assumptions!$E$7,2,IF(E14&gt;=Assumptions!$F$7,3,IF(E14&gt;=Assumptions!$G$7,4,5)))),IF(E14&lt;=Assumptions!$D$7,1,IF(E14&lt;=Assumptions!$E$7,2,IF(E14&lt;=Assumptions!$F$7,3,IF(E14&lt;=Assumptions!$G$7,4,5))))),5)</f>
        <v>3</v>
      </c>
      <c r="O14" s="18" t="n">
        <f aca="false">IF(ISNUMBER(F14),IF(Assumptions!$C$8="Higher",IF(F14&gt;=Assumptions!$D$8,1,IF(F14&gt;=Assumptions!$E$8,2,IF(F14&gt;=Assumptions!$F$8,3,IF(F14&gt;=Assumptions!$G$8,4,5)))),IF(F14&lt;=Assumptions!$D$8,1,IF(F14&lt;=Assumptions!$E$8,2,IF(F14&lt;=Assumptions!$F$8,3,IF(F14&lt;=Assumptions!$G$8,4,5))))),5)</f>
        <v>1</v>
      </c>
      <c r="P14" s="18" t="n">
        <f aca="false">IF(ISNUMBER(G14),IF(Assumptions!$C$9="Higher",IF(G14&gt;=Assumptions!$D$9,1,IF(G14&gt;=Assumptions!$E$9,2,IF(G14&gt;=Assumptions!$F$9,3,IF(G14&gt;=Assumptions!$G$9,4,5)))),IF(G14&lt;=Assumptions!$D$9,1,IF(G14&lt;=Assumptions!$E$9,2,IF(G14&lt;=Assumptions!$F$9,3,IF(G14&lt;=Assumptions!$G$9,4,5))))),5)</f>
        <v>1</v>
      </c>
      <c r="Q14" s="18" t="n">
        <f aca="false">IF(ISNUMBER(H14),IF(Assumptions!$C$10="Higher",IF(H14&gt;=Assumptions!$D$10,1,IF(H14&gt;=Assumptions!$E$10,2,IF(H14&gt;=Assumptions!$F$10,3,IF(H14&gt;=Assumptions!$G$10,4,5)))),IF(H14&lt;=Assumptions!$D$10,1,IF(H14&lt;=Assumptions!$E$10,2,IF(H14&lt;=Assumptions!$F$10,3,IF(H14&lt;=Assumptions!$G$10,4,5))))),5)</f>
        <v>1</v>
      </c>
      <c r="R14" s="18" t="n">
        <f aca="false">IF(ISNUMBER(I14),IF(Assumptions!$C$11="Higher",IF(I14&gt;=Assumptions!$D$11,1,IF(I14&gt;=Assumptions!$E$11,2,IF(I14&gt;=Assumptions!$F$11,3,IF(I14&gt;=Assumptions!$G$11,4,5)))),IF(I14&lt;=Assumptions!$D$11,1,IF(I14&lt;=Assumptions!$E$11,2,IF(I14&lt;=Assumptions!$F$11,3,IF(I14&lt;=Assumptions!$G$11,4,5))))),5)</f>
        <v>1</v>
      </c>
      <c r="S14" s="18" t="n">
        <f aca="false">IF(ISNUMBER(J14),IF(Assumptions!$C$12="Higher",IF(J14&gt;=Assumptions!$D$12,1,IF(J14&gt;=Assumptions!$E$12,2,IF(J14&gt;=Assumptions!$F$12,3,IF(J14&gt;=Assumptions!$G$12,4,5)))),IF(J14&lt;=Assumptions!$D$12,1,IF(J14&lt;=Assumptions!$E$12,2,IF(J14&lt;=Assumptions!$F$12,3,IF(J14&lt;=Assumptions!$G$12,4,5))))),5)</f>
        <v>1</v>
      </c>
      <c r="T14" s="18" t="n">
        <f aca="false">IF(ISNUMBER(K14),IF(Assumptions!$C$13="Higher",IF(K14&gt;=Assumptions!$D$13,1,IF(K14&gt;=Assumptions!$E$13,2,IF(K14&gt;=Assumptions!$F$13,3,IF(K14&gt;=Assumptions!$G$13,4,5)))),IF(K14&lt;=Assumptions!$D$13,1,IF(K14&lt;=Assumptions!$E$13,2,IF(K14&lt;=Assumptions!$F$13,3,IF(K14&lt;=Assumptions!$G$13,4,5))))),5)</f>
        <v>2</v>
      </c>
      <c r="U14" s="27" t="n">
        <f aca="false">L14*Assumptions!$H$5+M14*Assumptions!$H$6+N14*Assumptions!$H$7+O14*Assumptions!$H$8+P14*Assumptions!$H$9+Q14*Assumptions!$H$10+R14*Assumptions!$H$11+S14*Assumptions!$H$12+T14*Assumptions!$H$13</f>
        <v>1.4</v>
      </c>
      <c r="V14" s="19" t="str">
        <f aca="false">INDEX(Assumptions!$B$19:$B$30,MATCH(U14,Assumptions!$A$19:$A$30,1))</f>
        <v>A</v>
      </c>
      <c r="W14" s="18" t="n">
        <f aca="false">RANK(U14,$U$5:$U$16,1)</f>
        <v>4</v>
      </c>
    </row>
    <row r="15" customFormat="false" ht="15" hidden="false" customHeight="false" outlineLevel="0" collapsed="false">
      <c r="A15" s="9" t="str">
        <f aca="false">'Peer Data'!A15</f>
        <v>Shrq</v>
      </c>
      <c r="B15" s="9" t="str">
        <f aca="false">'Peer Data'!B15</f>
        <v>Bank Al Sharq</v>
      </c>
      <c r="C15" s="17" t="n">
        <f aca="false">IF('Peer Data'!N15&lt;=0,"n.m.",'Peer Data'!M15/'Peer Data'!N15)</f>
        <v>1.32446832982352</v>
      </c>
      <c r="D15" s="17" t="n">
        <f aca="false">IF('Peer Data'!N15&lt;=0,"n.m.",'Peer Data'!L15/'Peer Data'!N15)</f>
        <v>1.37874257833275</v>
      </c>
      <c r="E15" s="17" t="n">
        <f aca="false">IF('Peer Data'!F15&lt;=0,"n.m.",'Peer Data'!G15/'Peer Data'!F15)</f>
        <v>0.136451138854012</v>
      </c>
      <c r="F15" s="17" t="n">
        <f aca="false">IF(('Peer Data'!L15+'Peer Data'!H15)&lt;=0,"n.m.",'Peer Data'!G15/('Peer Data'!L15+'Peer Data'!H15))</f>
        <v>0.0454651818357965</v>
      </c>
      <c r="G15" s="22" t="n">
        <f aca="false">IF('Peer Data'!N15&lt;=0,"n.m.",'Peer Data'!Q15*12/Inputs!$C$7/'Peer Data'!N15)</f>
        <v>0.051008377535666</v>
      </c>
      <c r="H15" s="22" t="n">
        <f aca="false">IF('Peer Data'!N15&lt;=0,"n.m.",('Peer Data'!O15-'Peer Data'!P15)*12/Inputs!$C$7/'Peer Data'!N15)</f>
        <v>0.0640721681420544</v>
      </c>
      <c r="I15" s="17" t="n">
        <f aca="false">IF('Peer Data'!D15&lt;=0,"n.m.",('Peer Data'!K15-'Peer Data'!I15-'Peer Data'!J15-'Peer Data'!E15)/'Peer Data'!D15)</f>
        <v>-0.763253963266073</v>
      </c>
      <c r="J15" s="17" t="n">
        <f aca="false">IF('Peer Data'!I15&lt;=0,"n.m.",'Peer Data'!E15/'Peer Data'!I15)</f>
        <v>1.5707226608789</v>
      </c>
      <c r="K15" s="17" t="n">
        <f aca="false">IF('Peer Data'!O15&lt;=0,"n.m.",'Peer Data'!P15/'Peer Data'!O15)</f>
        <v>0.628261387942785</v>
      </c>
      <c r="L15" s="18" t="n">
        <f aca="false">IF(ISNUMBER(C15),IF(Assumptions!$C$5="Higher",IF(C15&gt;=Assumptions!$D$5,1,IF(C15&gt;=Assumptions!$E$5,2,IF(C15&gt;=Assumptions!$F$5,3,IF(C15&gt;=Assumptions!$G$5,4,5)))),IF(C15&lt;=Assumptions!$D$5,1,IF(C15&lt;=Assumptions!$E$5,2,IF(C15&lt;=Assumptions!$F$5,3,IF(C15&lt;=Assumptions!$G$5,4,5))))),5)</f>
        <v>1</v>
      </c>
      <c r="M15" s="18" t="n">
        <f aca="false">IF(ISNUMBER(D15),IF(Assumptions!$C$6="Higher",IF(D15&gt;=Assumptions!$D$6,1,IF(D15&gt;=Assumptions!$E$6,2,IF(D15&gt;=Assumptions!$F$6,3,IF(D15&gt;=Assumptions!$G$6,4,5)))),IF(D15&lt;=Assumptions!$D$6,1,IF(D15&lt;=Assumptions!$E$6,2,IF(D15&lt;=Assumptions!$F$6,3,IF(D15&lt;=Assumptions!$G$6,4,5))))),5)</f>
        <v>1</v>
      </c>
      <c r="N15" s="18" t="n">
        <f aca="false">IF(ISNUMBER(E15),IF(Assumptions!$C$7="Higher",IF(E15&gt;=Assumptions!$D$7,1,IF(E15&gt;=Assumptions!$E$7,2,IF(E15&gt;=Assumptions!$F$7,3,IF(E15&gt;=Assumptions!$G$7,4,5)))),IF(E15&lt;=Assumptions!$D$7,1,IF(E15&lt;=Assumptions!$E$7,2,IF(E15&lt;=Assumptions!$F$7,3,IF(E15&lt;=Assumptions!$G$7,4,5))))),5)</f>
        <v>4</v>
      </c>
      <c r="O15" s="18" t="n">
        <f aca="false">IF(ISNUMBER(F15),IF(Assumptions!$C$8="Higher",IF(F15&gt;=Assumptions!$D$8,1,IF(F15&gt;=Assumptions!$E$8,2,IF(F15&gt;=Assumptions!$F$8,3,IF(F15&gt;=Assumptions!$G$8,4,5)))),IF(F15&lt;=Assumptions!$D$8,1,IF(F15&lt;=Assumptions!$E$8,2,IF(F15&lt;=Assumptions!$F$8,3,IF(F15&lt;=Assumptions!$G$8,4,5))))),5)</f>
        <v>1</v>
      </c>
      <c r="P15" s="18" t="n">
        <f aca="false">IF(ISNUMBER(G15),IF(Assumptions!$C$9="Higher",IF(G15&gt;=Assumptions!$D$9,1,IF(G15&gt;=Assumptions!$E$9,2,IF(G15&gt;=Assumptions!$F$9,3,IF(G15&gt;=Assumptions!$G$9,4,5)))),IF(G15&lt;=Assumptions!$D$9,1,IF(G15&lt;=Assumptions!$E$9,2,IF(G15&lt;=Assumptions!$F$9,3,IF(G15&lt;=Assumptions!$G$9,4,5))))),5)</f>
        <v>1</v>
      </c>
      <c r="Q15" s="18" t="n">
        <f aca="false">IF(ISNUMBER(H15),IF(Assumptions!$C$10="Higher",IF(H15&gt;=Assumptions!$D$10,1,IF(H15&gt;=Assumptions!$E$10,2,IF(H15&gt;=Assumptions!$F$10,3,IF(H15&gt;=Assumptions!$G$10,4,5)))),IF(H15&lt;=Assumptions!$D$10,1,IF(H15&lt;=Assumptions!$E$10,2,IF(H15&lt;=Assumptions!$F$10,3,IF(H15&lt;=Assumptions!$G$10,4,5))))),5)</f>
        <v>1</v>
      </c>
      <c r="R15" s="18" t="n">
        <f aca="false">IF(ISNUMBER(I15),IF(Assumptions!$C$11="Higher",IF(I15&gt;=Assumptions!$D$11,1,IF(I15&gt;=Assumptions!$E$11,2,IF(I15&gt;=Assumptions!$F$11,3,IF(I15&gt;=Assumptions!$G$11,4,5)))),IF(I15&lt;=Assumptions!$D$11,1,IF(I15&lt;=Assumptions!$E$11,2,IF(I15&lt;=Assumptions!$F$11,3,IF(I15&lt;=Assumptions!$G$11,4,5))))),5)</f>
        <v>1</v>
      </c>
      <c r="S15" s="18" t="n">
        <f aca="false">IF(ISNUMBER(J15),IF(Assumptions!$C$12="Higher",IF(J15&gt;=Assumptions!$D$12,1,IF(J15&gt;=Assumptions!$E$12,2,IF(J15&gt;=Assumptions!$F$12,3,IF(J15&gt;=Assumptions!$G$12,4,5)))),IF(J15&lt;=Assumptions!$D$12,1,IF(J15&lt;=Assumptions!$E$12,2,IF(J15&lt;=Assumptions!$F$12,3,IF(J15&lt;=Assumptions!$G$12,4,5))))),5)</f>
        <v>1</v>
      </c>
      <c r="T15" s="18" t="n">
        <f aca="false">IF(ISNUMBER(K15),IF(Assumptions!$C$13="Higher",IF(K15&gt;=Assumptions!$D$13,1,IF(K15&gt;=Assumptions!$E$13,2,IF(K15&gt;=Assumptions!$F$13,3,IF(K15&gt;=Assumptions!$G$13,4,5)))),IF(K15&lt;=Assumptions!$D$13,1,IF(K15&lt;=Assumptions!$E$13,2,IF(K15&lt;=Assumptions!$F$13,3,IF(K15&lt;=Assumptions!$G$13,4,5))))),5)</f>
        <v>3</v>
      </c>
      <c r="U15" s="27" t="n">
        <f aca="false">L15*Assumptions!$H$5+M15*Assumptions!$H$6+N15*Assumptions!$H$7+O15*Assumptions!$H$8+P15*Assumptions!$H$9+Q15*Assumptions!$H$10+R15*Assumptions!$H$11+S15*Assumptions!$H$12+T15*Assumptions!$H$13</f>
        <v>1.65</v>
      </c>
      <c r="V15" s="19" t="str">
        <f aca="false">INDEX(Assumptions!$B$19:$B$30,MATCH(U15,Assumptions!$A$19:$A$30,1))</f>
        <v>A</v>
      </c>
      <c r="W15" s="18" t="n">
        <f aca="false">RANK(U15,$U$5:$U$16,1)</f>
        <v>6</v>
      </c>
    </row>
    <row r="16" customFormat="false" ht="15" hidden="false" customHeight="false" outlineLevel="0" collapsed="false">
      <c r="A16" s="9" t="str">
        <f aca="false">'Peer Data'!A16</f>
        <v>NIB</v>
      </c>
      <c r="B16" s="9" t="str">
        <f aca="false">'Peer Data'!B16</f>
        <v>National Islamic Bank</v>
      </c>
      <c r="C16" s="17" t="n">
        <f aca="false">IF('Peer Data'!N16&lt;=0,"n.m.",'Peer Data'!M16/'Peer Data'!N16)</f>
        <v>0.975069712547428</v>
      </c>
      <c r="D16" s="17" t="n">
        <f aca="false">IF('Peer Data'!N16&lt;=0,"n.m.",'Peer Data'!L16/'Peer Data'!N16)</f>
        <v>1.09091097988206</v>
      </c>
      <c r="E16" s="17" t="n">
        <f aca="false">IF('Peer Data'!F16&lt;=0,"n.m.",'Peer Data'!G16/'Peer Data'!F16)</f>
        <v>0.148774663216773</v>
      </c>
      <c r="F16" s="17" t="n">
        <f aca="false">IF(('Peer Data'!L16+'Peer Data'!H16)&lt;=0,"n.m.",'Peer Data'!G16/('Peer Data'!L16+'Peer Data'!H16))</f>
        <v>0.267034158360933</v>
      </c>
      <c r="G16" s="22" t="n">
        <f aca="false">IF('Peer Data'!N16&lt;=0,"n.m.",'Peer Data'!Q16*12/Inputs!$C$7/'Peer Data'!N16)</f>
        <v>0.00597041389790454</v>
      </c>
      <c r="H16" s="22" t="n">
        <f aca="false">IF('Peer Data'!N16&lt;=0,"n.m.",('Peer Data'!O16-'Peer Data'!P16)*12/Inputs!$C$7/'Peer Data'!N16)</f>
        <v>0.0847743363628681</v>
      </c>
      <c r="I16" s="17" t="n">
        <f aca="false">IF('Peer Data'!D16&lt;=0,"n.m.",('Peer Data'!K16-'Peer Data'!I16-'Peer Data'!J16-'Peer Data'!E16)/'Peer Data'!D16)</f>
        <v>-0.748935665125617</v>
      </c>
      <c r="J16" s="17" t="n">
        <f aca="false">IF('Peer Data'!I16&lt;=0,"n.m.",'Peer Data'!E16/'Peer Data'!I16)</f>
        <v>1.01161011082727</v>
      </c>
      <c r="K16" s="17" t="n">
        <f aca="false">IF('Peer Data'!O16&lt;=0,"n.m.",'Peer Data'!P16/'Peer Data'!O16)</f>
        <v>0.863046071285507</v>
      </c>
      <c r="L16" s="18" t="n">
        <f aca="false">IF(ISNUMBER(C16),IF(Assumptions!$C$5="Higher",IF(C16&gt;=Assumptions!$D$5,1,IF(C16&gt;=Assumptions!$E$5,2,IF(C16&gt;=Assumptions!$F$5,3,IF(C16&gt;=Assumptions!$G$5,4,5)))),IF(C16&lt;=Assumptions!$D$5,1,IF(C16&lt;=Assumptions!$E$5,2,IF(C16&lt;=Assumptions!$F$5,3,IF(C16&lt;=Assumptions!$G$5,4,5))))),5)</f>
        <v>1</v>
      </c>
      <c r="M16" s="18" t="n">
        <f aca="false">IF(ISNUMBER(D16),IF(Assumptions!$C$6="Higher",IF(D16&gt;=Assumptions!$D$6,1,IF(D16&gt;=Assumptions!$E$6,2,IF(D16&gt;=Assumptions!$F$6,3,IF(D16&gt;=Assumptions!$G$6,4,5)))),IF(D16&lt;=Assumptions!$D$6,1,IF(D16&lt;=Assumptions!$E$6,2,IF(D16&lt;=Assumptions!$F$6,3,IF(D16&lt;=Assumptions!$G$6,4,5))))),5)</f>
        <v>1</v>
      </c>
      <c r="N16" s="18" t="n">
        <f aca="false">IF(ISNUMBER(E16),IF(Assumptions!$C$7="Higher",IF(E16&gt;=Assumptions!$D$7,1,IF(E16&gt;=Assumptions!$E$7,2,IF(E16&gt;=Assumptions!$F$7,3,IF(E16&gt;=Assumptions!$G$7,4,5)))),IF(E16&lt;=Assumptions!$D$7,1,IF(E16&lt;=Assumptions!$E$7,2,IF(E16&lt;=Assumptions!$F$7,3,IF(E16&lt;=Assumptions!$G$7,4,5))))),5)</f>
        <v>4</v>
      </c>
      <c r="O16" s="18" t="n">
        <f aca="false">IF(ISNUMBER(F16),IF(Assumptions!$C$8="Higher",IF(F16&gt;=Assumptions!$D$8,1,IF(F16&gt;=Assumptions!$E$8,2,IF(F16&gt;=Assumptions!$F$8,3,IF(F16&gt;=Assumptions!$G$8,4,5)))),IF(F16&lt;=Assumptions!$D$8,1,IF(F16&lt;=Assumptions!$E$8,2,IF(F16&lt;=Assumptions!$F$8,3,IF(F16&lt;=Assumptions!$G$8,4,5))))),5)</f>
        <v>3</v>
      </c>
      <c r="P16" s="18" t="n">
        <f aca="false">IF(ISNUMBER(G16),IF(Assumptions!$C$9="Higher",IF(G16&gt;=Assumptions!$D$9,1,IF(G16&gt;=Assumptions!$E$9,2,IF(G16&gt;=Assumptions!$F$9,3,IF(G16&gt;=Assumptions!$G$9,4,5)))),IF(G16&lt;=Assumptions!$D$9,1,IF(G16&lt;=Assumptions!$E$9,2,IF(G16&lt;=Assumptions!$F$9,3,IF(G16&lt;=Assumptions!$G$9,4,5))))),5)</f>
        <v>4</v>
      </c>
      <c r="Q16" s="18" t="n">
        <f aca="false">IF(ISNUMBER(H16),IF(Assumptions!$C$10="Higher",IF(H16&gt;=Assumptions!$D$10,1,IF(H16&gt;=Assumptions!$E$10,2,IF(H16&gt;=Assumptions!$F$10,3,IF(H16&gt;=Assumptions!$G$10,4,5)))),IF(H16&lt;=Assumptions!$D$10,1,IF(H16&lt;=Assumptions!$E$10,2,IF(H16&lt;=Assumptions!$F$10,3,IF(H16&lt;=Assumptions!$G$10,4,5))))),5)</f>
        <v>1</v>
      </c>
      <c r="R16" s="18" t="n">
        <f aca="false">IF(ISNUMBER(I16),IF(Assumptions!$C$11="Higher",IF(I16&gt;=Assumptions!$D$11,1,IF(I16&gt;=Assumptions!$E$11,2,IF(I16&gt;=Assumptions!$F$11,3,IF(I16&gt;=Assumptions!$G$11,4,5)))),IF(I16&lt;=Assumptions!$D$11,1,IF(I16&lt;=Assumptions!$E$11,2,IF(I16&lt;=Assumptions!$F$11,3,IF(I16&lt;=Assumptions!$G$11,4,5))))),5)</f>
        <v>1</v>
      </c>
      <c r="S16" s="18" t="n">
        <f aca="false">IF(ISNUMBER(J16),IF(Assumptions!$C$12="Higher",IF(J16&gt;=Assumptions!$D$12,1,IF(J16&gt;=Assumptions!$E$12,2,IF(J16&gt;=Assumptions!$F$12,3,IF(J16&gt;=Assumptions!$G$12,4,5)))),IF(J16&lt;=Assumptions!$D$12,1,IF(J16&lt;=Assumptions!$E$12,2,IF(J16&lt;=Assumptions!$F$12,3,IF(J16&lt;=Assumptions!$G$12,4,5))))),5)</f>
        <v>1</v>
      </c>
      <c r="T16" s="18" t="n">
        <f aca="false">IF(ISNUMBER(K16),IF(Assumptions!$C$13="Higher",IF(K16&gt;=Assumptions!$D$13,1,IF(K16&gt;=Assumptions!$E$13,2,IF(K16&gt;=Assumptions!$F$13,3,IF(K16&gt;=Assumptions!$G$13,4,5)))),IF(K16&lt;=Assumptions!$D$13,1,IF(K16&lt;=Assumptions!$E$13,2,IF(K16&lt;=Assumptions!$F$13,3,IF(K16&lt;=Assumptions!$G$13,4,5))))),5)</f>
        <v>5</v>
      </c>
      <c r="U16" s="27" t="n">
        <f aca="false">L16*Assumptions!$H$5+M16*Assumptions!$H$6+N16*Assumptions!$H$7+O16*Assumptions!$H$8+P16*Assumptions!$H$9+Q16*Assumptions!$H$10+R16*Assumptions!$H$11+S16*Assumptions!$H$12+T16*Assumptions!$H$13</f>
        <v>2.45</v>
      </c>
      <c r="V16" s="19" t="str">
        <f aca="false">INDEX(Assumptions!$B$19:$B$30,MATCH(U16,Assumptions!$A$19:$A$30,1))</f>
        <v>BBB-</v>
      </c>
      <c r="W16" s="18" t="n">
        <f aca="false">RANK(U16,$U$5:$U$16,1)</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12"/>
    <col collapsed="false" customWidth="true" hidden="false" outlineLevel="0" max="7" min="4" style="0" width="11"/>
    <col collapsed="false" customWidth="true" hidden="false" outlineLevel="0" max="8" min="8" style="0" width="9"/>
    <col collapsed="false" customWidth="true" hidden="false" outlineLevel="0" max="9" min="9" style="0" width="70"/>
  </cols>
  <sheetData>
    <row r="1" customFormat="false" ht="15" hidden="false" customHeight="false" outlineLevel="0" collapsed="false">
      <c r="A1" s="6" t="s">
        <v>92</v>
      </c>
    </row>
    <row r="2" customFormat="false" ht="15" hidden="false" customHeight="false" outlineLevel="0" collapsed="false">
      <c r="A2" s="2" t="s">
        <v>93</v>
      </c>
    </row>
    <row r="4" customFormat="false" ht="30" hidden="false" customHeight="true" outlineLevel="0" collapsed="false">
      <c r="A4" s="11" t="s">
        <v>48</v>
      </c>
      <c r="B4" s="11" t="s">
        <v>49</v>
      </c>
      <c r="C4" s="11" t="s">
        <v>94</v>
      </c>
      <c r="D4" s="11" t="s">
        <v>95</v>
      </c>
      <c r="E4" s="11" t="s">
        <v>96</v>
      </c>
      <c r="F4" s="11" t="s">
        <v>97</v>
      </c>
      <c r="G4" s="11" t="s">
        <v>98</v>
      </c>
      <c r="H4" s="11" t="s">
        <v>53</v>
      </c>
      <c r="I4" s="11" t="s">
        <v>99</v>
      </c>
    </row>
    <row r="5" customFormat="false" ht="15" hidden="false" customHeight="false" outlineLevel="0" collapsed="false">
      <c r="A5" s="8" t="s">
        <v>100</v>
      </c>
      <c r="B5" s="8" t="s">
        <v>63</v>
      </c>
      <c r="C5" s="33" t="s">
        <v>101</v>
      </c>
      <c r="D5" s="34" t="n">
        <v>0.2</v>
      </c>
      <c r="E5" s="34" t="n">
        <v>0.15</v>
      </c>
      <c r="F5" s="34" t="n">
        <v>0.125</v>
      </c>
      <c r="G5" s="34" t="n">
        <v>0.1</v>
      </c>
      <c r="H5" s="34" t="n">
        <v>0.1</v>
      </c>
      <c r="I5" s="8" t="s">
        <v>102</v>
      </c>
    </row>
    <row r="6" customFormat="false" ht="15" hidden="false" customHeight="false" outlineLevel="0" collapsed="false">
      <c r="A6" s="8" t="s">
        <v>103</v>
      </c>
      <c r="B6" s="8" t="s">
        <v>63</v>
      </c>
      <c r="C6" s="33" t="s">
        <v>101</v>
      </c>
      <c r="D6" s="34" t="n">
        <v>0.15</v>
      </c>
      <c r="E6" s="34" t="n">
        <v>0.12</v>
      </c>
      <c r="F6" s="34" t="n">
        <v>0.1</v>
      </c>
      <c r="G6" s="34" t="n">
        <v>0.08</v>
      </c>
      <c r="H6" s="34" t="n">
        <v>0.1</v>
      </c>
      <c r="I6" s="8" t="s">
        <v>104</v>
      </c>
    </row>
    <row r="7" customFormat="false" ht="15" hidden="false" customHeight="false" outlineLevel="0" collapsed="false">
      <c r="A7" s="8" t="s">
        <v>74</v>
      </c>
      <c r="B7" s="8" t="s">
        <v>64</v>
      </c>
      <c r="C7" s="33" t="s">
        <v>105</v>
      </c>
      <c r="D7" s="34" t="n">
        <v>0.03</v>
      </c>
      <c r="E7" s="34" t="n">
        <v>0.06</v>
      </c>
      <c r="F7" s="34" t="n">
        <v>0.1</v>
      </c>
      <c r="G7" s="34" t="n">
        <v>0.2</v>
      </c>
      <c r="H7" s="34" t="n">
        <v>0.15</v>
      </c>
      <c r="I7" s="8" t="s">
        <v>106</v>
      </c>
    </row>
    <row r="8" customFormat="false" ht="15" hidden="false" customHeight="false" outlineLevel="0" collapsed="false">
      <c r="A8" s="8" t="s">
        <v>107</v>
      </c>
      <c r="B8" s="8" t="s">
        <v>64</v>
      </c>
      <c r="C8" s="33" t="s">
        <v>105</v>
      </c>
      <c r="D8" s="34" t="n">
        <v>0.1</v>
      </c>
      <c r="E8" s="34" t="n">
        <v>0.25</v>
      </c>
      <c r="F8" s="34" t="n">
        <v>0.5</v>
      </c>
      <c r="G8" s="34" t="n">
        <v>1</v>
      </c>
      <c r="H8" s="34" t="n">
        <v>0.15</v>
      </c>
      <c r="I8" s="8" t="s">
        <v>108</v>
      </c>
    </row>
    <row r="9" customFormat="false" ht="15" hidden="false" customHeight="false" outlineLevel="0" collapsed="false">
      <c r="A9" s="8" t="s">
        <v>109</v>
      </c>
      <c r="B9" s="8" t="s">
        <v>65</v>
      </c>
      <c r="C9" s="33" t="s">
        <v>101</v>
      </c>
      <c r="D9" s="34" t="n">
        <v>0.025</v>
      </c>
      <c r="E9" s="34" t="n">
        <v>0.015</v>
      </c>
      <c r="F9" s="34" t="n">
        <v>0.0075</v>
      </c>
      <c r="G9" s="34" t="n">
        <v>0</v>
      </c>
      <c r="H9" s="34" t="n">
        <v>0.1</v>
      </c>
      <c r="I9" s="8" t="s">
        <v>110</v>
      </c>
    </row>
    <row r="10" customFormat="false" ht="15" hidden="false" customHeight="false" outlineLevel="0" collapsed="false">
      <c r="A10" s="8" t="s">
        <v>111</v>
      </c>
      <c r="B10" s="8" t="s">
        <v>65</v>
      </c>
      <c r="C10" s="33" t="s">
        <v>101</v>
      </c>
      <c r="D10" s="34" t="n">
        <v>0.04</v>
      </c>
      <c r="E10" s="34" t="n">
        <v>0.025</v>
      </c>
      <c r="F10" s="34" t="n">
        <v>0.015</v>
      </c>
      <c r="G10" s="34" t="n">
        <v>0</v>
      </c>
      <c r="H10" s="34" t="n">
        <v>0.1</v>
      </c>
      <c r="I10" s="8" t="s">
        <v>112</v>
      </c>
    </row>
    <row r="11" customFormat="false" ht="15" hidden="false" customHeight="false" outlineLevel="0" collapsed="false">
      <c r="A11" s="8" t="s">
        <v>113</v>
      </c>
      <c r="B11" s="8" t="s">
        <v>66</v>
      </c>
      <c r="C11" s="33" t="s">
        <v>105</v>
      </c>
      <c r="D11" s="34" t="n">
        <v>-0.2</v>
      </c>
      <c r="E11" s="34" t="n">
        <v>-0.1</v>
      </c>
      <c r="F11" s="34" t="n">
        <v>0</v>
      </c>
      <c r="G11" s="34" t="n">
        <v>0.1</v>
      </c>
      <c r="H11" s="34" t="n">
        <v>0.1</v>
      </c>
      <c r="I11" s="8" t="s">
        <v>114</v>
      </c>
    </row>
    <row r="12" customFormat="false" ht="15" hidden="false" customHeight="false" outlineLevel="0" collapsed="false">
      <c r="A12" s="8" t="s">
        <v>115</v>
      </c>
      <c r="B12" s="8" t="s">
        <v>66</v>
      </c>
      <c r="C12" s="33" t="s">
        <v>101</v>
      </c>
      <c r="D12" s="34" t="n">
        <v>0.6</v>
      </c>
      <c r="E12" s="34" t="n">
        <v>0.45</v>
      </c>
      <c r="F12" s="34" t="n">
        <v>0.3</v>
      </c>
      <c r="G12" s="34" t="n">
        <v>0.2</v>
      </c>
      <c r="H12" s="34" t="n">
        <v>0.1</v>
      </c>
      <c r="I12" s="8" t="s">
        <v>116</v>
      </c>
    </row>
    <row r="13" customFormat="false" ht="15" hidden="false" customHeight="false" outlineLevel="0" collapsed="false">
      <c r="A13" s="8" t="s">
        <v>117</v>
      </c>
      <c r="B13" s="8" t="s">
        <v>67</v>
      </c>
      <c r="C13" s="33" t="s">
        <v>105</v>
      </c>
      <c r="D13" s="34" t="n">
        <v>0.45</v>
      </c>
      <c r="E13" s="34" t="n">
        <v>0.55</v>
      </c>
      <c r="F13" s="34" t="n">
        <v>0.65</v>
      </c>
      <c r="G13" s="34" t="n">
        <v>0.8</v>
      </c>
      <c r="H13" s="34" t="n">
        <v>0.1</v>
      </c>
      <c r="I13" s="8" t="s">
        <v>118</v>
      </c>
    </row>
    <row r="14" customFormat="false" ht="15" hidden="false" customHeight="false" outlineLevel="0" collapsed="false">
      <c r="G14" s="3" t="s">
        <v>119</v>
      </c>
      <c r="H14" s="35" t="n">
        <f aca="false">SUM(H5:H13)</f>
        <v>1</v>
      </c>
      <c r="I14" s="36" t="str">
        <f aca="false">IF(ABS(H14-1)&lt;0.0001,"OK: weights sum to 100%","CHECK: weights must sum to 100%")</f>
        <v>OK: weights sum to 100%</v>
      </c>
    </row>
    <row r="17" customFormat="false" ht="15" hidden="false" customHeight="false" outlineLevel="0" collapsed="false">
      <c r="A17" s="26" t="s">
        <v>120</v>
      </c>
    </row>
    <row r="18" customFormat="false" ht="23.85" hidden="false" customHeight="false" outlineLevel="0" collapsed="false">
      <c r="A18" s="11" t="s">
        <v>121</v>
      </c>
      <c r="B18" s="11" t="s">
        <v>90</v>
      </c>
      <c r="C18" s="11" t="s">
        <v>122</v>
      </c>
      <c r="E18" s="3" t="s">
        <v>123</v>
      </c>
    </row>
    <row r="19" customFormat="false" ht="15" hidden="false" customHeight="false" outlineLevel="0" collapsed="false">
      <c r="A19" s="37" t="n">
        <v>1</v>
      </c>
      <c r="B19" s="33" t="s">
        <v>124</v>
      </c>
      <c r="C19" s="38" t="n">
        <v>0.0003</v>
      </c>
      <c r="E19" s="33" t="s">
        <v>26</v>
      </c>
    </row>
    <row r="20" customFormat="false" ht="15" hidden="false" customHeight="false" outlineLevel="0" collapsed="false">
      <c r="A20" s="37" t="n">
        <v>1.4</v>
      </c>
      <c r="B20" s="33" t="s">
        <v>125</v>
      </c>
      <c r="C20" s="38" t="n">
        <v>0.0006</v>
      </c>
      <c r="E20" s="33" t="s">
        <v>124</v>
      </c>
    </row>
    <row r="21" customFormat="false" ht="15" hidden="false" customHeight="false" outlineLevel="0" collapsed="false">
      <c r="A21" s="37" t="n">
        <v>1.8</v>
      </c>
      <c r="B21" s="33" t="s">
        <v>126</v>
      </c>
      <c r="C21" s="38" t="n">
        <v>0.001</v>
      </c>
      <c r="E21" s="33" t="s">
        <v>125</v>
      </c>
    </row>
    <row r="22" customFormat="false" ht="15" hidden="false" customHeight="false" outlineLevel="0" collapsed="false">
      <c r="A22" s="37" t="n">
        <v>2.1</v>
      </c>
      <c r="B22" s="33" t="s">
        <v>127</v>
      </c>
      <c r="C22" s="38" t="n">
        <v>0.0017</v>
      </c>
      <c r="E22" s="33" t="s">
        <v>126</v>
      </c>
    </row>
    <row r="23" customFormat="false" ht="15" hidden="false" customHeight="false" outlineLevel="0" collapsed="false">
      <c r="A23" s="37" t="n">
        <v>2.4</v>
      </c>
      <c r="B23" s="33" t="s">
        <v>128</v>
      </c>
      <c r="C23" s="38" t="n">
        <v>0.0027</v>
      </c>
      <c r="E23" s="33" t="s">
        <v>127</v>
      </c>
    </row>
    <row r="24" customFormat="false" ht="15" hidden="false" customHeight="false" outlineLevel="0" collapsed="false">
      <c r="A24" s="37" t="n">
        <v>2.7</v>
      </c>
      <c r="B24" s="33" t="s">
        <v>129</v>
      </c>
      <c r="C24" s="38" t="n">
        <v>0.0045</v>
      </c>
      <c r="E24" s="33" t="s">
        <v>128</v>
      </c>
    </row>
    <row r="25" customFormat="false" ht="15" hidden="false" customHeight="false" outlineLevel="0" collapsed="false">
      <c r="A25" s="37" t="n">
        <v>3</v>
      </c>
      <c r="B25" s="33" t="s">
        <v>130</v>
      </c>
      <c r="C25" s="38" t="n">
        <v>0.0075</v>
      </c>
      <c r="E25" s="33" t="s">
        <v>129</v>
      </c>
    </row>
    <row r="26" customFormat="false" ht="15" hidden="false" customHeight="false" outlineLevel="0" collapsed="false">
      <c r="A26" s="37" t="n">
        <v>3.3</v>
      </c>
      <c r="B26" s="33" t="s">
        <v>131</v>
      </c>
      <c r="C26" s="38" t="n">
        <v>0.013</v>
      </c>
      <c r="E26" s="33" t="s">
        <v>130</v>
      </c>
    </row>
    <row r="27" customFormat="false" ht="15" hidden="false" customHeight="false" outlineLevel="0" collapsed="false">
      <c r="A27" s="37" t="n">
        <v>3.6</v>
      </c>
      <c r="B27" s="33" t="s">
        <v>132</v>
      </c>
      <c r="C27" s="38" t="n">
        <v>0.022</v>
      </c>
      <c r="E27" s="33" t="s">
        <v>131</v>
      </c>
    </row>
    <row r="28" customFormat="false" ht="15" hidden="false" customHeight="false" outlineLevel="0" collapsed="false">
      <c r="A28" s="37" t="n">
        <v>3.9</v>
      </c>
      <c r="B28" s="33" t="s">
        <v>133</v>
      </c>
      <c r="C28" s="38" t="n">
        <v>0.038</v>
      </c>
      <c r="E28" s="33" t="s">
        <v>132</v>
      </c>
    </row>
    <row r="29" customFormat="false" ht="15" hidden="false" customHeight="false" outlineLevel="0" collapsed="false">
      <c r="A29" s="37" t="n">
        <v>4.2</v>
      </c>
      <c r="B29" s="33" t="s">
        <v>134</v>
      </c>
      <c r="C29" s="38" t="n">
        <v>0.065</v>
      </c>
      <c r="E29" s="33" t="s">
        <v>133</v>
      </c>
    </row>
    <row r="30" customFormat="false" ht="15" hidden="false" customHeight="false" outlineLevel="0" collapsed="false">
      <c r="A30" s="37" t="n">
        <v>4.5</v>
      </c>
      <c r="B30" s="33" t="s">
        <v>135</v>
      </c>
      <c r="C30" s="38" t="n">
        <v>0.25</v>
      </c>
      <c r="E30" s="33" t="s">
        <v>134</v>
      </c>
    </row>
    <row r="31" customFormat="false" ht="15" hidden="false" customHeight="false" outlineLevel="0" collapsed="false">
      <c r="E31" s="33" t="s">
        <v>135</v>
      </c>
    </row>
  </sheetData>
  <dataValidations count="1">
    <dataValidation allowBlank="false" errorStyle="stop" operator="between" showDropDown="false" showErrorMessage="false" showInputMessage="false" sqref="C5:C13" type="list">
      <formula1>"Higher,Lower"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17" min="4" style="0" width="15"/>
  </cols>
  <sheetData>
    <row r="1" customFormat="false" ht="15" hidden="false" customHeight="false" outlineLevel="0" collapsed="false">
      <c r="A1" s="6" t="s">
        <v>136</v>
      </c>
    </row>
    <row r="2" customFormat="false" ht="15" hidden="false" customHeight="false" outlineLevel="0" collapsed="false">
      <c r="A2" s="2" t="s">
        <v>137</v>
      </c>
    </row>
    <row r="4" customFormat="false" ht="42" hidden="false" customHeight="true" outlineLevel="0" collapsed="false">
      <c r="A4" s="11" t="s">
        <v>70</v>
      </c>
      <c r="B4" s="11" t="s">
        <v>71</v>
      </c>
      <c r="C4" s="11" t="s">
        <v>23</v>
      </c>
      <c r="D4" s="11" t="s">
        <v>32</v>
      </c>
      <c r="E4" s="11" t="s">
        <v>34</v>
      </c>
      <c r="F4" s="11" t="s">
        <v>35</v>
      </c>
      <c r="G4" s="11" t="s">
        <v>36</v>
      </c>
      <c r="H4" s="11" t="s">
        <v>37</v>
      </c>
      <c r="I4" s="11" t="s">
        <v>38</v>
      </c>
      <c r="J4" s="11" t="s">
        <v>39</v>
      </c>
      <c r="K4" s="11" t="s">
        <v>40</v>
      </c>
      <c r="L4" s="11" t="s">
        <v>41</v>
      </c>
      <c r="M4" s="11" t="s">
        <v>42</v>
      </c>
      <c r="N4" s="11" t="s">
        <v>43</v>
      </c>
      <c r="O4" s="11" t="s">
        <v>44</v>
      </c>
      <c r="P4" s="11" t="s">
        <v>45</v>
      </c>
      <c r="Q4" s="11" t="s">
        <v>46</v>
      </c>
    </row>
    <row r="5" customFormat="false" ht="15" hidden="false" customHeight="false" outlineLevel="0" collapsed="false">
      <c r="A5" s="33" t="s">
        <v>138</v>
      </c>
      <c r="B5" s="33" t="s">
        <v>139</v>
      </c>
      <c r="C5" s="33" t="s">
        <v>140</v>
      </c>
      <c r="D5" s="39" t="n">
        <v>7668807</v>
      </c>
      <c r="E5" s="39" t="n">
        <v>6632735.3</v>
      </c>
      <c r="F5" s="39" t="n">
        <v>845260.5</v>
      </c>
      <c r="G5" s="39" t="n">
        <v>127750</v>
      </c>
      <c r="H5" s="39" t="n">
        <v>164038.7</v>
      </c>
      <c r="I5" s="39" t="n">
        <v>3661340.9</v>
      </c>
      <c r="J5" s="39" t="n">
        <v>208814.6</v>
      </c>
      <c r="K5" s="39" t="n">
        <v>6691306.7</v>
      </c>
      <c r="L5" s="39" t="n">
        <v>977500.3</v>
      </c>
      <c r="M5" s="39" t="n">
        <v>999926.5</v>
      </c>
      <c r="N5" s="39" t="n">
        <v>2034543.2</v>
      </c>
      <c r="O5" s="39" t="n">
        <v>344745.3</v>
      </c>
      <c r="P5" s="39" t="n">
        <v>150456.3</v>
      </c>
      <c r="Q5" s="39" t="n">
        <v>103849.9</v>
      </c>
    </row>
    <row r="6" customFormat="false" ht="15" hidden="false" customHeight="false" outlineLevel="0" collapsed="false">
      <c r="A6" s="33" t="s">
        <v>141</v>
      </c>
      <c r="B6" s="33" t="s">
        <v>142</v>
      </c>
      <c r="C6" s="33" t="s">
        <v>140</v>
      </c>
      <c r="D6" s="39" t="n">
        <v>5033930</v>
      </c>
      <c r="E6" s="39" t="n">
        <v>3644846.1</v>
      </c>
      <c r="F6" s="39" t="n">
        <v>812685</v>
      </c>
      <c r="G6" s="39" t="n">
        <v>274437.4</v>
      </c>
      <c r="H6" s="39" t="n">
        <v>42920.8</v>
      </c>
      <c r="I6" s="39" t="n">
        <v>4570427</v>
      </c>
      <c r="J6" s="39" t="n">
        <v>42398.2</v>
      </c>
      <c r="K6" s="39" t="n">
        <v>4650753.3</v>
      </c>
      <c r="L6" s="39" t="n">
        <v>383176.7</v>
      </c>
      <c r="M6" s="39" t="n">
        <v>645448.6</v>
      </c>
      <c r="N6" s="39" t="n">
        <v>3113320.3</v>
      </c>
      <c r="O6" s="39" t="n">
        <v>405356.1</v>
      </c>
      <c r="P6" s="39" t="n">
        <v>151885.6</v>
      </c>
      <c r="Q6" s="39" t="n">
        <v>19252.2</v>
      </c>
    </row>
    <row r="7" customFormat="false" ht="15" hidden="false" customHeight="false" outlineLevel="0" collapsed="false">
      <c r="A7" s="33" t="s">
        <v>21</v>
      </c>
      <c r="B7" s="33" t="s">
        <v>143</v>
      </c>
      <c r="C7" s="33" t="s">
        <v>140</v>
      </c>
      <c r="D7" s="39" t="n">
        <v>3517320.5</v>
      </c>
      <c r="E7" s="39" t="n">
        <v>552230</v>
      </c>
      <c r="F7" s="39" t="n">
        <v>175731</v>
      </c>
      <c r="G7" s="39" t="n">
        <v>0</v>
      </c>
      <c r="H7" s="39" t="n">
        <v>867.5</v>
      </c>
      <c r="I7" s="39" t="n">
        <v>853242.3</v>
      </c>
      <c r="J7" s="39" t="n">
        <v>19594.8</v>
      </c>
      <c r="K7" s="39" t="n">
        <v>1142094.5</v>
      </c>
      <c r="L7" s="39" t="n">
        <v>2375225.9</v>
      </c>
      <c r="M7" s="39" t="n">
        <v>2374047.7</v>
      </c>
      <c r="N7" s="39" t="n">
        <v>1150082.8</v>
      </c>
      <c r="O7" s="39" t="n">
        <v>132974.7</v>
      </c>
      <c r="P7" s="39" t="n">
        <v>63692</v>
      </c>
      <c r="Q7" s="39" t="n">
        <v>64696.2</v>
      </c>
    </row>
    <row r="8" customFormat="false" ht="15" hidden="false" customHeight="false" outlineLevel="0" collapsed="false">
      <c r="A8" s="33" t="s">
        <v>144</v>
      </c>
      <c r="B8" s="33" t="s">
        <v>145</v>
      </c>
      <c r="C8" s="33" t="s">
        <v>140</v>
      </c>
      <c r="D8" s="39" t="n">
        <v>2657559.3</v>
      </c>
      <c r="E8" s="39" t="n">
        <v>1858973.5</v>
      </c>
      <c r="F8" s="39" t="n">
        <v>80257.4</v>
      </c>
      <c r="G8" s="39" t="n">
        <v>2569.5</v>
      </c>
      <c r="H8" s="39" t="n">
        <v>2242</v>
      </c>
      <c r="I8" s="39" t="n">
        <v>1782123.8</v>
      </c>
      <c r="J8" s="39" t="n">
        <v>24819.2</v>
      </c>
      <c r="K8" s="39" t="n">
        <v>1933105.7</v>
      </c>
      <c r="L8" s="39" t="n">
        <v>724453.6</v>
      </c>
      <c r="M8" s="39" t="n">
        <v>725748.2</v>
      </c>
      <c r="N8" s="39" t="n">
        <v>1907611.2</v>
      </c>
      <c r="O8" s="39" t="n">
        <v>134207.1</v>
      </c>
      <c r="P8" s="39" t="n">
        <v>69976.2</v>
      </c>
      <c r="Q8" s="39" t="n">
        <v>48145.6</v>
      </c>
    </row>
    <row r="9" customFormat="false" ht="15" hidden="false" customHeight="false" outlineLevel="0" collapsed="false">
      <c r="A9" s="33" t="s">
        <v>146</v>
      </c>
      <c r="B9" s="33" t="s">
        <v>147</v>
      </c>
      <c r="C9" s="33" t="s">
        <v>140</v>
      </c>
      <c r="D9" s="39" t="n">
        <v>2404968.2</v>
      </c>
      <c r="E9" s="39" t="n">
        <v>1593534.8</v>
      </c>
      <c r="F9" s="39" t="n">
        <v>136945.7</v>
      </c>
      <c r="G9" s="39" t="n">
        <v>844.8</v>
      </c>
      <c r="H9" s="39" t="n">
        <v>2076.5</v>
      </c>
      <c r="I9" s="39" t="n">
        <v>1431359.7</v>
      </c>
      <c r="J9" s="39" t="n">
        <v>37361.7</v>
      </c>
      <c r="K9" s="39" t="n">
        <v>1687208.7</v>
      </c>
      <c r="L9" s="39" t="n">
        <v>717759.5</v>
      </c>
      <c r="M9" s="39" t="n">
        <v>725067.4</v>
      </c>
      <c r="N9" s="39" t="n">
        <v>1231736.1</v>
      </c>
      <c r="O9" s="39" t="n">
        <v>98906.8</v>
      </c>
      <c r="P9" s="39" t="n">
        <v>50622.1</v>
      </c>
      <c r="Q9" s="39" t="n">
        <v>39856.3</v>
      </c>
    </row>
    <row r="10" customFormat="false" ht="15" hidden="false" customHeight="false" outlineLevel="0" collapsed="false">
      <c r="A10" s="33" t="s">
        <v>148</v>
      </c>
      <c r="B10" s="33" t="s">
        <v>149</v>
      </c>
      <c r="C10" s="33" t="s">
        <v>140</v>
      </c>
      <c r="D10" s="39" t="n">
        <v>2176177.8</v>
      </c>
      <c r="E10" s="39" t="n">
        <v>1327185.3</v>
      </c>
      <c r="F10" s="39" t="n">
        <v>246990.5</v>
      </c>
      <c r="G10" s="39" t="n">
        <v>7855.9</v>
      </c>
      <c r="H10" s="39" t="n">
        <v>4427.3</v>
      </c>
      <c r="I10" s="39" t="n">
        <v>952153.6</v>
      </c>
      <c r="J10" s="39" t="n">
        <v>11733.2</v>
      </c>
      <c r="K10" s="39" t="n">
        <v>1439284.1</v>
      </c>
      <c r="L10" s="39" t="n">
        <v>736893.7</v>
      </c>
      <c r="M10" s="39" t="n">
        <v>522390.3</v>
      </c>
      <c r="N10" s="39" t="n">
        <v>1481617.9</v>
      </c>
      <c r="O10" s="39" t="n">
        <v>109298.4</v>
      </c>
      <c r="P10" s="39" t="n">
        <v>64921.7</v>
      </c>
      <c r="Q10" s="39" t="n">
        <v>17340.2</v>
      </c>
    </row>
    <row r="11" customFormat="false" ht="15" hidden="false" customHeight="false" outlineLevel="0" collapsed="false">
      <c r="A11" s="33" t="s">
        <v>150</v>
      </c>
      <c r="B11" s="33" t="s">
        <v>151</v>
      </c>
      <c r="C11" s="33" t="s">
        <v>140</v>
      </c>
      <c r="D11" s="39" t="n">
        <v>1639681.7</v>
      </c>
      <c r="E11" s="39" t="n">
        <v>1294231.3</v>
      </c>
      <c r="F11" s="39" t="n">
        <v>383567.6</v>
      </c>
      <c r="G11" s="39" t="n">
        <v>190899.8</v>
      </c>
      <c r="H11" s="39" t="n">
        <v>115830.2</v>
      </c>
      <c r="I11" s="39" t="n">
        <v>727640.5</v>
      </c>
      <c r="J11" s="39" t="n">
        <v>22067.6</v>
      </c>
      <c r="K11" s="39" t="n">
        <v>1028057.4</v>
      </c>
      <c r="L11" s="39" t="n">
        <v>611624.3</v>
      </c>
      <c r="M11" s="39" t="n">
        <v>604305.5</v>
      </c>
      <c r="N11" s="39" t="n">
        <v>1112791.3</v>
      </c>
      <c r="O11" s="39" t="n">
        <v>28992.7</v>
      </c>
      <c r="P11" s="39" t="n">
        <v>46686.2</v>
      </c>
      <c r="Q11" s="39" t="n">
        <v>-28062</v>
      </c>
    </row>
    <row r="12" customFormat="false" ht="15" hidden="false" customHeight="false" outlineLevel="0" collapsed="false">
      <c r="A12" s="33" t="s">
        <v>152</v>
      </c>
      <c r="B12" s="33" t="s">
        <v>153</v>
      </c>
      <c r="C12" s="33" t="s">
        <v>140</v>
      </c>
      <c r="D12" s="39" t="n">
        <v>1534874.8</v>
      </c>
      <c r="E12" s="39" t="n">
        <v>449728.5</v>
      </c>
      <c r="F12" s="39" t="n">
        <v>1537825.2</v>
      </c>
      <c r="G12" s="39" t="n">
        <v>1448683.1</v>
      </c>
      <c r="H12" s="39" t="n">
        <v>338348.8</v>
      </c>
      <c r="I12" s="39" t="n">
        <v>698597.5</v>
      </c>
      <c r="J12" s="39" t="n">
        <v>5737.9</v>
      </c>
      <c r="K12" s="39" t="n">
        <v>808328.8</v>
      </c>
      <c r="L12" s="39" t="n">
        <v>726546</v>
      </c>
      <c r="M12" s="39" t="n">
        <v>730496.4</v>
      </c>
      <c r="N12" s="39" t="n">
        <v>1589662.8</v>
      </c>
      <c r="O12" s="39" t="n">
        <v>53402.3</v>
      </c>
      <c r="P12" s="39" t="n">
        <v>60889.7</v>
      </c>
      <c r="Q12" s="39" t="n">
        <v>-7422.8</v>
      </c>
    </row>
    <row r="13" customFormat="false" ht="15" hidden="false" customHeight="false" outlineLevel="0" collapsed="false">
      <c r="A13" s="33" t="s">
        <v>154</v>
      </c>
      <c r="B13" s="33" t="s">
        <v>155</v>
      </c>
      <c r="C13" s="33" t="s">
        <v>140</v>
      </c>
      <c r="D13" s="39" t="n">
        <v>1368535.9</v>
      </c>
      <c r="E13" s="39" t="n">
        <v>1108496.7</v>
      </c>
      <c r="F13" s="39" t="n">
        <v>501496.2</v>
      </c>
      <c r="G13" s="39" t="n">
        <v>387691.9</v>
      </c>
      <c r="H13" s="39" t="n">
        <v>87136.4</v>
      </c>
      <c r="I13" s="39" t="n">
        <v>403504.7</v>
      </c>
      <c r="J13" s="39" t="n">
        <v>18946.6</v>
      </c>
      <c r="K13" s="39" t="n">
        <v>578870.1</v>
      </c>
      <c r="L13" s="39" t="n">
        <v>789665.8</v>
      </c>
      <c r="M13" s="39" t="n">
        <v>693459.6</v>
      </c>
      <c r="N13" s="39" t="n">
        <v>1360541.2</v>
      </c>
      <c r="O13" s="39" t="n">
        <v>21853.5</v>
      </c>
      <c r="P13" s="39" t="n">
        <v>43756.6</v>
      </c>
      <c r="Q13" s="39" t="n">
        <v>-47270.5</v>
      </c>
    </row>
    <row r="14" customFormat="false" ht="15" hidden="false" customHeight="false" outlineLevel="0" collapsed="false">
      <c r="A14" s="33" t="s">
        <v>156</v>
      </c>
      <c r="B14" s="33" t="s">
        <v>157</v>
      </c>
      <c r="C14" s="33" t="s">
        <v>140</v>
      </c>
      <c r="D14" s="39" t="n">
        <v>1352659</v>
      </c>
      <c r="E14" s="39" t="n">
        <v>970837.6</v>
      </c>
      <c r="F14" s="39" t="n">
        <v>233931.6</v>
      </c>
      <c r="G14" s="39" t="n">
        <v>16136.6</v>
      </c>
      <c r="H14" s="39" t="n">
        <v>16539.6</v>
      </c>
      <c r="I14" s="39" t="n">
        <v>801597.5</v>
      </c>
      <c r="J14" s="39" t="n">
        <v>45981.6</v>
      </c>
      <c r="K14" s="39" t="n">
        <v>977468.8</v>
      </c>
      <c r="L14" s="39" t="n">
        <v>375190.2</v>
      </c>
      <c r="M14" s="39" t="n">
        <v>382749.6</v>
      </c>
      <c r="N14" s="39" t="n">
        <v>285127.4</v>
      </c>
      <c r="O14" s="39" t="n">
        <v>51992.2</v>
      </c>
      <c r="P14" s="39" t="n">
        <v>24476.1</v>
      </c>
      <c r="Q14" s="39" t="n">
        <v>10370.3</v>
      </c>
    </row>
    <row r="15" customFormat="false" ht="15" hidden="false" customHeight="false" outlineLevel="0" collapsed="false">
      <c r="A15" s="33" t="s">
        <v>158</v>
      </c>
      <c r="B15" s="33" t="s">
        <v>159</v>
      </c>
      <c r="C15" s="33" t="s">
        <v>140</v>
      </c>
      <c r="D15" s="39" t="n">
        <v>1174271.4</v>
      </c>
      <c r="E15" s="39" t="n">
        <v>965630.5</v>
      </c>
      <c r="F15" s="39" t="n">
        <v>152359.3</v>
      </c>
      <c r="G15" s="39" t="n">
        <v>20789.6</v>
      </c>
      <c r="H15" s="39" t="n">
        <v>7740.9</v>
      </c>
      <c r="I15" s="39" t="n">
        <v>614768.3</v>
      </c>
      <c r="J15" s="39" t="n">
        <v>40616.6</v>
      </c>
      <c r="K15" s="39" t="n">
        <v>724748.1</v>
      </c>
      <c r="L15" s="39" t="n">
        <v>449523.3</v>
      </c>
      <c r="M15" s="39" t="n">
        <v>431827.8</v>
      </c>
      <c r="N15" s="39" t="n">
        <v>326038.6</v>
      </c>
      <c r="O15" s="39" t="n">
        <v>56195.4</v>
      </c>
      <c r="P15" s="39" t="n">
        <v>35305.4</v>
      </c>
      <c r="Q15" s="39" t="n">
        <v>16630.7</v>
      </c>
    </row>
    <row r="16" customFormat="false" ht="15" hidden="false" customHeight="false" outlineLevel="0" collapsed="false">
      <c r="A16" s="33" t="s">
        <v>160</v>
      </c>
      <c r="B16" s="33" t="s">
        <v>161</v>
      </c>
      <c r="C16" s="33" t="s">
        <v>140</v>
      </c>
      <c r="D16" s="39" t="n">
        <v>987400.7</v>
      </c>
      <c r="E16" s="39" t="n">
        <v>804479.4</v>
      </c>
      <c r="F16" s="39" t="n">
        <v>150497.4</v>
      </c>
      <c r="G16" s="39" t="n">
        <v>22390.2</v>
      </c>
      <c r="H16" s="39" t="n">
        <v>5095.6</v>
      </c>
      <c r="I16" s="39" t="n">
        <v>795246.5</v>
      </c>
      <c r="J16" s="39" t="n">
        <v>48422.3</v>
      </c>
      <c r="K16" s="39" t="n">
        <v>908648.6</v>
      </c>
      <c r="L16" s="39" t="n">
        <v>78752.1</v>
      </c>
      <c r="M16" s="39" t="n">
        <v>70389.6</v>
      </c>
      <c r="N16" s="39" t="n">
        <v>72189.3</v>
      </c>
      <c r="O16" s="39" t="n">
        <v>44685.1</v>
      </c>
      <c r="P16" s="39" t="n">
        <v>38565.3</v>
      </c>
      <c r="Q16" s="39" t="n">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2026-10-24T15:55:06Z</dcterms:created>
  <dc:creator>Jamal Kanbarieh</dc:creator>
  <dc:description/>
  <dc:language>en-US</dc:language>
  <cp:lastModifiedBy/>
  <dcterms:modified xsi:type="dcterms:W3CDTF">2026-10-24T15:55:06Z</dcterms:modified>
  <cp:revision>0</cp:revision>
  <dc:subject/>
  <dc:title>Bank Counterparty Credit Scoring Model</dc:title>
</cp:coreProperties>
</file>

<file path=docProps/custom.xml><?xml version="1.0" encoding="utf-8"?>
<Properties xmlns="http://schemas.openxmlformats.org/officeDocument/2006/custom-properties" xmlns:vt="http://schemas.openxmlformats.org/officeDocument/2006/docPropsVTypes"/>
</file>